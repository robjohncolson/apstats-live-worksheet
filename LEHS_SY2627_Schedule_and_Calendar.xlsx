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ell Schedule" sheetId="2" state="visible" r:id="rId4"/>
    <sheet name="Lunch Waves" sheetId="3" state="visible" r:id="rId5"/>
    <sheet name="Block Summary" sheetId="4" state="visible" r:id="rId6"/>
    <sheet name="Calendar Events" sheetId="5" state="visible" r:id="rId7"/>
    <sheet name="Monthly Counts" sheetId="6" state="visible" r:id="rId8"/>
    <sheet name="Academic Deadlines" sheetId="7" state="visible" r:id="rId9"/>
  </sheets>
  <definedNames>
    <definedName function="false" hidden="true" localSheetId="6" name="_xlnm._FilterDatabase" vbProcedure="false">'Academic Deadlines'!$A$1:$G$26</definedName>
    <definedName function="false" hidden="true" localSheetId="1" name="_xlnm._FilterDatabase" vbProcedure="false">'Bell Schedule'!$A$1:$M$27</definedName>
    <definedName function="false" hidden="true" localSheetId="4" name="_xlnm._FilterDatabase" vbProcedure="false">'Calendar Events'!$A$1:$F$48</definedName>
    <definedName function="false" hidden="true" localSheetId="2" name="_xlnm._FilterDatabase" vbProcedure="false">'Lunch Waves'!$A$1:$G$21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Clock Window = End - Start. For the 90+30 blocks it exceeds 120 because the four lunch waves have transition gaps; 'Clock vs Scheduled' is that gap.</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All of A-G total 240 min/week despite very different daily lengths (40 to 90 min). That even total is a useful check that the times were read correctly.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The source calendar colours dates but never names the holiday. Everything in this column is inferred from the date - verify against the district before relying on it. Blank means the closure could not be identified (e.g. Fri 4 Sep 2026).</t>
        </r>
      </text>
    </comment>
  </commentList>
</comments>
</file>

<file path=xl/sharedStrings.xml><?xml version="1.0" encoding="utf-8"?>
<sst xmlns="http://schemas.openxmlformats.org/spreadsheetml/2006/main" count="495" uniqueCount="176">
  <si>
    <t xml:space="preserve">LEHS SY 2026-2027 Schedule &amp; School Calendar</t>
  </si>
  <si>
    <t xml:space="preserve">Converted from weekschedule.pdf (scanned, 2 pages). Times and dates are real Excel values, so they sort, filter and import.</t>
  </si>
  <si>
    <t xml:space="preserve">What's in this workbook</t>
  </si>
  <si>
    <t xml:space="preserve">Bell Schedule</t>
  </si>
  <si>
    <t xml:space="preserve">One row per block, Monday-Friday. Instruction and lunch minutes in separate columns.</t>
  </si>
  <si>
    <t xml:space="preserve">Lunch Waves</t>
  </si>
  <si>
    <t xml:space="preserve">Every printed L1-L4 lunch window inside the 90+30 blocks.</t>
  </si>
  <si>
    <t xml:space="preserve">Block Summary</t>
  </si>
  <si>
    <t xml:space="preserve">How often each block meets and how many minutes a week it gets.</t>
  </si>
  <si>
    <t xml:space="preserve">Calendar Events</t>
  </si>
  <si>
    <t xml:space="preserve">All 47 colour-coded dates: closures, early releases, in-service days, graduations.</t>
  </si>
  <si>
    <t xml:space="preserve">Monthly Counts</t>
  </si>
  <si>
    <t xml:space="preserve">School-day count printed in each month heading, plus a running total.</t>
  </si>
  <si>
    <t xml:space="preserve">Academic Deadlines</t>
  </si>
  <si>
    <t xml:space="preserve">Elementary trimester and secondary quarter dates from the tables on page 2.</t>
  </si>
  <si>
    <t xml:space="preserve">At a glance</t>
  </si>
  <si>
    <t xml:space="preserve">Blocks per week</t>
  </si>
  <si>
    <t xml:space="preserve">Lunch waves</t>
  </si>
  <si>
    <t xml:space="preserve">Calendar dates recorded</t>
  </si>
  <si>
    <t xml:space="preserve">Scheduled school days</t>
  </si>
  <si>
    <t xml:space="preserve">Maximum with 5 snow days</t>
  </si>
  <si>
    <t xml:space="preserve">Instructional minutes per lettered block, per week</t>
  </si>
  <si>
    <t xml:space="preserve">How the source was read</t>
  </si>
  <si>
    <t xml:space="preserve">- Source: weekschedule.pdf - page 1 'SY 26-27 LEHS Schedule', page 2 'Lynn Public Schools 2026-2027 School Calendar'. The PDF is a scan with no extractable text, so both pages were transcribed from the image and re-checked against it.</t>
  </si>
  <si>
    <t xml:space="preserve">- The 90+30 blocks run longer on the clock than 120 minutes because the four lunch waves have transition gaps between them. Start and End on the Bell Schedule tab cover the whole block-plus-lunch window; the Clock vs Scheduled column shows the gap.</t>
  </si>
  <si>
    <t xml:space="preserve">- Wednesday's D block is printed as 60 minutes, but its printed times (1:29-2:30) span 61. Both values are kept exactly as printed rather than reconciled.</t>
  </si>
  <si>
    <t xml:space="preserve">- Wednesday's third block is printed only as 'X'. The PDF never says what X block is, so it is left unlabelled here.</t>
  </si>
  <si>
    <t xml:space="preserve">- Holiday names are NOT printed on the source calendar. The 'Likely Holiday' column on Calendar Events is inferred from the dates and is marked as such - verify before relying on it.</t>
  </si>
  <si>
    <t xml:space="preserve">- Every block A-G gets exactly 240 instructional minutes a week (X gets 45). That total falling out evenly is a good sign the times were transcribed correctly.</t>
  </si>
  <si>
    <t xml:space="preserve">Day #</t>
  </si>
  <si>
    <t xml:space="preserve">Day</t>
  </si>
  <si>
    <t xml:space="preserve">Period</t>
  </si>
  <si>
    <t xml:space="preserve">Block</t>
  </si>
  <si>
    <t xml:space="preserve">Start</t>
  </si>
  <si>
    <t xml:space="preserve">End</t>
  </si>
  <si>
    <t xml:space="preserve">Clock Window (min)</t>
  </si>
  <si>
    <t xml:space="preserve">Instruction (min)</t>
  </si>
  <si>
    <t xml:space="preserve">Lunch (min)</t>
  </si>
  <si>
    <t xml:space="preserve">Scheduled Total (min)</t>
  </si>
  <si>
    <t xml:space="preserve">Clock vs Scheduled</t>
  </si>
  <si>
    <t xml:space="preserve">Printed Label</t>
  </si>
  <si>
    <t xml:space="preserve">Notes</t>
  </si>
  <si>
    <t xml:space="preserve">Monday</t>
  </si>
  <si>
    <t xml:space="preserve">A</t>
  </si>
  <si>
    <t xml:space="preserve">65</t>
  </si>
  <si>
    <t xml:space="preserve">B</t>
  </si>
  <si>
    <t xml:space="preserve">55</t>
  </si>
  <si>
    <t xml:space="preserve">C</t>
  </si>
  <si>
    <t xml:space="preserve">60</t>
  </si>
  <si>
    <t xml:space="preserve">D</t>
  </si>
  <si>
    <t xml:space="preserve">90+30</t>
  </si>
  <si>
    <t xml:space="preserve">Rotating 30-min lunch; see Lunch Waves</t>
  </si>
  <si>
    <t xml:space="preserve">E</t>
  </si>
  <si>
    <t xml:space="preserve">75</t>
  </si>
  <si>
    <t xml:space="preserve">Tuesday</t>
  </si>
  <si>
    <t xml:space="preserve">F</t>
  </si>
  <si>
    <t xml:space="preserve">G</t>
  </si>
  <si>
    <t xml:space="preserve">70</t>
  </si>
  <si>
    <t xml:space="preserve">Wednesday</t>
  </si>
  <si>
    <t xml:space="preserve">45</t>
  </si>
  <si>
    <t xml:space="preserve">X</t>
  </si>
  <si>
    <t xml:space="preserve">Printed only as 'X'; the PDF does not say what X block is</t>
  </si>
  <si>
    <t xml:space="preserve">40</t>
  </si>
  <si>
    <t xml:space="preserve">Printed as 60 min; 1:29-2:30 spans 61 clock minutes</t>
  </si>
  <si>
    <t xml:space="preserve">Thursday</t>
  </si>
  <si>
    <t xml:space="preserve">Friday</t>
  </si>
  <si>
    <t xml:space="preserve">Source: weekschedule.pdf p.1. Minute columns are formulas, not typed numbers.</t>
  </si>
  <si>
    <t xml:space="preserve">Parent Block</t>
  </si>
  <si>
    <t xml:space="preserve">Lunch Wave</t>
  </si>
  <si>
    <t xml:space="preserve">Minutes</t>
  </si>
  <si>
    <t xml:space="preserve">L1</t>
  </si>
  <si>
    <t xml:space="preserve">L2</t>
  </si>
  <si>
    <t xml:space="preserve">L3</t>
  </si>
  <si>
    <t xml:space="preserve">L4</t>
  </si>
  <si>
    <t xml:space="preserve">Source: weekschedule.pdf p.1. Each student takes one wave; the block meets around it.</t>
  </si>
  <si>
    <t xml:space="preserve">Meets per Week</t>
  </si>
  <si>
    <t xml:space="preserve">Instruction (min/wk)</t>
  </si>
  <si>
    <t xml:space="preserve">Lunch (min/wk)</t>
  </si>
  <si>
    <t xml:space="preserve">Total Student Time (min/wk)</t>
  </si>
  <si>
    <t xml:space="preserve">Mon</t>
  </si>
  <si>
    <t xml:space="preserve">Tue</t>
  </si>
  <si>
    <t xml:space="preserve">Wed</t>
  </si>
  <si>
    <t xml:space="preserve">Thu</t>
  </si>
  <si>
    <t xml:space="preserve">Fri</t>
  </si>
  <si>
    <t xml:space="preserve">Total</t>
  </si>
  <si>
    <t xml:space="preserve">Mon-Fri columns show which period the block meets that day (blank = it doesn't meet).</t>
  </si>
  <si>
    <t xml:space="preserve">Cross-check: every lettered block lands on 240 instructional minutes a week. Two independent transcriptions of the scan produced the same result.</t>
  </si>
  <si>
    <t xml:space="preserve">Date</t>
  </si>
  <si>
    <t xml:space="preserve">Weekday</t>
  </si>
  <si>
    <t xml:space="preserve">Event Type</t>
  </si>
  <si>
    <t xml:space="preserve">Student Status</t>
  </si>
  <si>
    <t xml:space="preserve">Likely Holiday (inferred - NOT in the PDF)</t>
  </si>
  <si>
    <t xml:space="preserve">Source Colour</t>
  </si>
  <si>
    <t xml:space="preserve">Teacher In-Service Day</t>
  </si>
  <si>
    <t xml:space="preserve">No school for students</t>
  </si>
  <si>
    <t xml:space="preserve">Gray</t>
  </si>
  <si>
    <t xml:space="preserve">First Day of School</t>
  </si>
  <si>
    <t xml:space="preserve">School in session</t>
  </si>
  <si>
    <t xml:space="preserve">Green</t>
  </si>
  <si>
    <t xml:space="preserve">School Closed / Holiday</t>
  </si>
  <si>
    <t xml:space="preserve">School closed</t>
  </si>
  <si>
    <t xml:space="preserve">Red</t>
  </si>
  <si>
    <t xml:space="preserve">Labor Day</t>
  </si>
  <si>
    <t xml:space="preserve">First Day - Pre-K &amp; Kindergarten</t>
  </si>
  <si>
    <t xml:space="preserve">Orange</t>
  </si>
  <si>
    <t xml:space="preserve">Early Release</t>
  </si>
  <si>
    <t xml:space="preserve">Early release</t>
  </si>
  <si>
    <t xml:space="preserve">Yellow</t>
  </si>
  <si>
    <t xml:space="preserve">Columbus Day / Indigenous Peoples' Day</t>
  </si>
  <si>
    <t xml:space="preserve">Election Day</t>
  </si>
  <si>
    <t xml:space="preserve">Veterans Day</t>
  </si>
  <si>
    <t xml:space="preserve">Early Release / Half-Day Holiday</t>
  </si>
  <si>
    <t xml:space="preserve">Day before Thanksgiving</t>
  </si>
  <si>
    <t xml:space="preserve">Thanksgiving Day</t>
  </si>
  <si>
    <t xml:space="preserve">Day after Thanksgiving</t>
  </si>
  <si>
    <t xml:space="preserve">Day before winter recess</t>
  </si>
  <si>
    <t xml:space="preserve">Christmas Eve</t>
  </si>
  <si>
    <t xml:space="preserve">Christmas Day</t>
  </si>
  <si>
    <t xml:space="preserve">Winter recess</t>
  </si>
  <si>
    <t xml:space="preserve">New Year's Day</t>
  </si>
  <si>
    <t xml:space="preserve">Martin Luther King Jr. Day</t>
  </si>
  <si>
    <t xml:space="preserve">Presidents' Day / February vacation</t>
  </si>
  <si>
    <t xml:space="preserve">February vacation</t>
  </si>
  <si>
    <t xml:space="preserve">Good Friday</t>
  </si>
  <si>
    <t xml:space="preserve">Patriots' Day / April vacation</t>
  </si>
  <si>
    <t xml:space="preserve">April vacation</t>
  </si>
  <si>
    <t xml:space="preserve">Memorial Day</t>
  </si>
  <si>
    <t xml:space="preserve">High School Graduations</t>
  </si>
  <si>
    <t xml:space="preserve">Graduation event</t>
  </si>
  <si>
    <t xml:space="preserve">Early Release + Tentative 180th Day</t>
  </si>
  <si>
    <t xml:space="preserve">In session; early release</t>
  </si>
  <si>
    <t xml:space="preserve">Green + slash</t>
  </si>
  <si>
    <t xml:space="preserve">Juneteenth (observed)</t>
  </si>
  <si>
    <t xml:space="preserve">185th Day / Snow-Day Limit</t>
  </si>
  <si>
    <t xml:space="preserve">In session only if all 5 snow days are used</t>
  </si>
  <si>
    <t xml:space="preserve">Blue</t>
  </si>
  <si>
    <t xml:space="preserve">Source: weekschedule.pdf p.2. Every colour-coded date on the printed calendar is listed; none falls on a weekend, which is a check that the dates were read correctly.</t>
  </si>
  <si>
    <t xml:space="preserve">Month</t>
  </si>
  <si>
    <t xml:space="preserve">Scheduled School Days</t>
  </si>
  <si>
    <t xml:space="preserve">June with 5 Snow Days</t>
  </si>
  <si>
    <t xml:space="preserve">Cumulative Scheduled Days</t>
  </si>
  <si>
    <t xml:space="preserve">Source Note</t>
  </si>
  <si>
    <t xml:space="preserve">September heading: (19)</t>
  </si>
  <si>
    <t xml:space="preserve">October heading: (21)</t>
  </si>
  <si>
    <t xml:space="preserve">November heading: (17)</t>
  </si>
  <si>
    <t xml:space="preserve">December heading: (17)</t>
  </si>
  <si>
    <t xml:space="preserve">January heading: (19)</t>
  </si>
  <si>
    <t xml:space="preserve">February heading: (15)</t>
  </si>
  <si>
    <t xml:space="preserve">March heading: (22)</t>
  </si>
  <si>
    <t xml:space="preserve">April heading: (17)</t>
  </si>
  <si>
    <t xml:space="preserve">May heading: (20)</t>
  </si>
  <si>
    <t xml:space="preserve">June heading: (13) (18) - 13 scheduled, 18 if all 5 snow days are used</t>
  </si>
  <si>
    <t xml:space="preserve">Column D total = maximum year length if all 5 snow days are used</t>
  </si>
  <si>
    <t xml:space="preserve">Source: weekschedule.pdf p.2, the count printed in each month heading.</t>
  </si>
  <si>
    <t xml:space="preserve">School Level</t>
  </si>
  <si>
    <t xml:space="preserve">Term</t>
  </si>
  <si>
    <t xml:space="preserve">Term Days</t>
  </si>
  <si>
    <t xml:space="preserve">Milestone</t>
  </si>
  <si>
    <t xml:space="preserve">IPR Day Count</t>
  </si>
  <si>
    <t xml:space="preserve">Elementary</t>
  </si>
  <si>
    <t xml:space="preserve">T1</t>
  </si>
  <si>
    <t xml:space="preserve">Trimester IPRs Distribution Date</t>
  </si>
  <si>
    <t xml:space="preserve">Trimester Closing Date</t>
  </si>
  <si>
    <t xml:space="preserve">Trimester Report Card Distribution Date</t>
  </si>
  <si>
    <t xml:space="preserve">T2</t>
  </si>
  <si>
    <t xml:space="preserve">T3</t>
  </si>
  <si>
    <t xml:space="preserve">Secondary</t>
  </si>
  <si>
    <t xml:space="preserve">Q1</t>
  </si>
  <si>
    <t xml:space="preserve">Quarter Interim Progress Report</t>
  </si>
  <si>
    <t xml:space="preserve">Quarter IPRs Distribution Date</t>
  </si>
  <si>
    <t xml:space="preserve">Quarter Closing Date</t>
  </si>
  <si>
    <t xml:space="preserve">Quarter Report Card Distribution Date</t>
  </si>
  <si>
    <t xml:space="preserve">Q2</t>
  </si>
  <si>
    <t xml:space="preserve">Q3</t>
  </si>
  <si>
    <t xml:space="preserve">Q4</t>
  </si>
  <si>
    <t xml:space="preserve">Source: weekschedule.pdf p.2, the two tables at the foot of the calendar page.</t>
  </si>
</sst>
</file>

<file path=xl/styles.xml><?xml version="1.0" encoding="utf-8"?>
<styleSheet xmlns="http://schemas.openxmlformats.org/spreadsheetml/2006/main">
  <numFmts count="6">
    <numFmt numFmtId="164" formatCode="General"/>
    <numFmt numFmtId="165" formatCode="General"/>
    <numFmt numFmtId="166" formatCode="h:mm\ AM/PM"/>
    <numFmt numFmtId="167" formatCode="0"/>
    <numFmt numFmtId="168" formatCode="ddd&quot;, &quot;mmm\ d&quot;, &quot;yyyy"/>
    <numFmt numFmtId="169" formatCode="mmmm\ yyyy"/>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b val="true"/>
      <sz val="11"/>
      <name val="Arial"/>
      <family val="0"/>
      <charset val="1"/>
    </font>
    <font>
      <sz val="11"/>
      <name val="Arial"/>
      <family val="0"/>
      <charset val="1"/>
    </font>
    <font>
      <sz val="10"/>
      <name val="Arial"/>
      <family val="0"/>
      <charset val="1"/>
    </font>
    <font>
      <b val="true"/>
      <sz val="11"/>
      <color rgb="FFFFFFFF"/>
      <name val="Arial"/>
      <family val="0"/>
      <charset val="1"/>
    </font>
    <font>
      <sz val="10"/>
      <name val="Arial"/>
      <family val="2"/>
    </font>
    <font>
      <i val="true"/>
      <sz val="11"/>
      <color rgb="FF7F5F00"/>
      <name val="Arial"/>
      <family val="0"/>
      <charset val="1"/>
    </font>
  </fonts>
  <fills count="12">
    <fill>
      <patternFill patternType="none"/>
    </fill>
    <fill>
      <patternFill patternType="gray125"/>
    </fill>
    <fill>
      <patternFill patternType="solid">
        <fgColor rgb="FFEDF2F9"/>
        <bgColor rgb="FFF2F2F2"/>
      </patternFill>
    </fill>
    <fill>
      <patternFill patternType="solid">
        <fgColor rgb="FF1F3864"/>
        <bgColor rgb="FF333333"/>
      </patternFill>
    </fill>
    <fill>
      <patternFill patternType="solid">
        <fgColor rgb="FFFDE9D9"/>
        <bgColor rgb="FFFCE4EC"/>
      </patternFill>
    </fill>
    <fill>
      <patternFill patternType="solid">
        <fgColor rgb="FFE4EFD9"/>
        <bgColor rgb="FFEFEFEF"/>
      </patternFill>
    </fill>
    <fill>
      <patternFill patternType="solid">
        <fgColor rgb="FFE7E0EC"/>
        <bgColor rgb="FFDEEAF6"/>
      </patternFill>
    </fill>
    <fill>
      <patternFill patternType="solid">
        <fgColor rgb="FFDEEAF6"/>
        <bgColor rgb="FFE7E0EC"/>
      </patternFill>
    </fill>
    <fill>
      <patternFill patternType="solid">
        <fgColor rgb="FFFCE4EC"/>
        <bgColor rgb="FFFDE9D9"/>
      </patternFill>
    </fill>
    <fill>
      <patternFill patternType="solid">
        <fgColor rgb="FFF2F2F2"/>
        <bgColor rgb="FFEFEFEF"/>
      </patternFill>
    </fill>
    <fill>
      <patternFill patternType="solid">
        <fgColor rgb="FFEFEFEF"/>
        <bgColor rgb="FFF2F2F2"/>
      </patternFill>
    </fill>
    <fill>
      <patternFill patternType="solid">
        <fgColor rgb="FFFFF6D9"/>
        <bgColor rgb="FFFDE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6" fontId="8" fillId="4" borderId="1" xfId="0" applyFont="true" applyBorder="true" applyAlignment="true" applyProtection="false">
      <alignment horizontal="center" vertical="bottom" textRotation="0" wrapText="fals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7" fontId="8" fillId="5"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general" vertical="center" textRotation="0" wrapText="false" indent="0" shrinkToFit="false"/>
      <protection locked="true" hidden="false"/>
    </xf>
    <xf numFmtId="166" fontId="8" fillId="6" borderId="1" xfId="0" applyFont="true" applyBorder="true" applyAlignment="true" applyProtection="false">
      <alignment horizontal="center" vertical="bottom" textRotation="0" wrapText="false" indent="0" shrinkToFit="false"/>
      <protection locked="true" hidden="false"/>
    </xf>
    <xf numFmtId="167" fontId="8" fillId="6"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general" vertical="center" textRotation="0" wrapText="false" indent="0" shrinkToFit="false"/>
      <protection locked="true" hidden="false"/>
    </xf>
    <xf numFmtId="166" fontId="8" fillId="7" borderId="1" xfId="0" applyFont="true" applyBorder="true" applyAlignment="true" applyProtection="false">
      <alignment horizontal="center" vertical="bottom" textRotation="0" wrapText="false" indent="0" shrinkToFit="false"/>
      <protection locked="true" hidden="false"/>
    </xf>
    <xf numFmtId="167" fontId="8" fillId="7"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true" applyProtection="false">
      <alignment horizontal="center" vertical="bottom" textRotation="0" wrapText="false" indent="0" shrinkToFit="false"/>
      <protection locked="true" hidden="false"/>
    </xf>
    <xf numFmtId="164" fontId="8" fillId="8" borderId="1" xfId="0" applyFont="true" applyBorder="true" applyAlignment="true" applyProtection="false">
      <alignment horizontal="general" vertical="center" textRotation="0" wrapText="false" indent="0" shrinkToFit="false"/>
      <protection locked="true" hidden="false"/>
    </xf>
    <xf numFmtId="166" fontId="8" fillId="8" borderId="1" xfId="0" applyFont="true" applyBorder="true" applyAlignment="true" applyProtection="false">
      <alignment horizontal="center" vertical="bottom" textRotation="0" wrapText="false" indent="0" shrinkToFit="false"/>
      <protection locked="true" hidden="false"/>
    </xf>
    <xf numFmtId="167" fontId="8" fillId="8"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5" fontId="8" fillId="9"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8" fontId="8" fillId="10" borderId="1" xfId="0" applyFont="true" applyBorder="true" applyAlignment="true" applyProtection="false">
      <alignment horizontal="center" vertical="bottom" textRotation="0" wrapText="false" indent="0" shrinkToFit="false"/>
      <protection locked="true" hidden="false"/>
    </xf>
    <xf numFmtId="164" fontId="8" fillId="10" borderId="1" xfId="0" applyFont="true" applyBorder="true" applyAlignment="true" applyProtection="false">
      <alignment horizontal="center" vertical="bottom" textRotation="0" wrapText="false" indent="0" shrinkToFit="false"/>
      <protection locked="true" hidden="false"/>
    </xf>
    <xf numFmtId="164" fontId="8" fillId="10" borderId="1" xfId="0" applyFont="true" applyBorder="true" applyAlignment="false" applyProtection="false">
      <alignment horizontal="general" vertical="bottom" textRotation="0" wrapText="false" indent="0" shrinkToFit="false"/>
      <protection locked="true" hidden="false"/>
    </xf>
    <xf numFmtId="164" fontId="12" fillId="10"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8" fontId="8" fillId="8" borderId="1" xfId="0" applyFont="true" applyBorder="true" applyAlignment="true" applyProtection="false">
      <alignment horizontal="center" vertical="bottom" textRotation="0" wrapText="false" indent="0" shrinkToFit="false"/>
      <protection locked="true" hidden="false"/>
    </xf>
    <xf numFmtId="164" fontId="12" fillId="8"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8" fontId="8" fillId="11" borderId="1" xfId="0" applyFont="true" applyBorder="true" applyAlignment="true" applyProtection="false">
      <alignment horizontal="center" vertical="bottom" textRotation="0" wrapText="false" indent="0" shrinkToFit="false"/>
      <protection locked="true" hidden="false"/>
    </xf>
    <xf numFmtId="164" fontId="8" fillId="11" borderId="1" xfId="0" applyFont="true" applyBorder="true" applyAlignment="true" applyProtection="false">
      <alignment horizontal="center" vertical="bottom" textRotation="0" wrapText="false" indent="0" shrinkToFit="false"/>
      <protection locked="true" hidden="false"/>
    </xf>
    <xf numFmtId="164" fontId="8" fillId="11" borderId="1" xfId="0" applyFont="true" applyBorder="true" applyAlignment="false" applyProtection="false">
      <alignment horizontal="general" vertical="bottom" textRotation="0" wrapText="false" indent="0" shrinkToFit="false"/>
      <protection locked="true" hidden="false"/>
    </xf>
    <xf numFmtId="164" fontId="12" fillId="11" borderId="1" xfId="0" applyFont="true" applyBorder="true" applyAlignment="false" applyProtection="false">
      <alignment horizontal="general" vertical="bottom" textRotation="0" wrapText="false" indent="0" shrinkToFit="false"/>
      <protection locked="true" hidden="false"/>
    </xf>
    <xf numFmtId="168" fontId="8" fillId="7"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DEEAF6"/>
          <bgColor rgb="FF000000"/>
        </patternFill>
      </fill>
    </dxf>
    <dxf>
      <fill>
        <patternFill patternType="solid">
          <fgColor rgb="FFE4EFD9"/>
          <bgColor rgb="FF000000"/>
        </patternFill>
      </fill>
    </dxf>
    <dxf>
      <fill>
        <patternFill patternType="solid">
          <fgColor rgb="FFE7E0EC"/>
          <bgColor rgb="FF000000"/>
        </patternFill>
      </fill>
    </dxf>
    <dxf>
      <fill>
        <patternFill patternType="solid">
          <fgColor rgb="FFFCE4EC"/>
          <bgColor rgb="FF000000"/>
        </patternFill>
      </fill>
    </dxf>
    <dxf>
      <fill>
        <patternFill patternType="solid">
          <fgColor rgb="FFFDE9D9"/>
          <bgColor rgb="FF000000"/>
        </patternFill>
      </fill>
    </dxf>
    <dxf>
      <fill>
        <patternFill patternType="solid">
          <fgColor rgb="FFFFFFFF"/>
          <bgColor rgb="FF000000"/>
        </patternFill>
      </fill>
    </dxf>
    <dxf>
      <fill>
        <patternFill patternType="solid">
          <bgColor rgb="FF000000"/>
        </patternFill>
      </fill>
    </dxf>
    <dxf>
      <fill>
        <patternFill patternType="solid">
          <fgColor rgb="FFEFEFEF"/>
          <bgColor rgb="FF000000"/>
        </patternFill>
      </fill>
    </dxf>
    <dxf>
      <fill>
        <patternFill patternType="solid">
          <fgColor rgb="FFFFF6D9"/>
          <bgColor rgb="FF000000"/>
        </patternFill>
      </fill>
    </dxf>
    <dxf>
      <fill>
        <patternFill patternType="solid">
          <fgColor rgb="FF7F5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993366"/>
      <rgbColor rgb="FFFFF6D9"/>
      <rgbColor rgb="FFDEEAF6"/>
      <rgbColor rgb="FF660066"/>
      <rgbColor rgb="FFFF8080"/>
      <rgbColor rgb="FF0066CC"/>
      <rgbColor rgb="FFE7E0EC"/>
      <rgbColor rgb="FF000080"/>
      <rgbColor rgb="FFFF00FF"/>
      <rgbColor rgb="FFFFFF00"/>
      <rgbColor rgb="FF00FFFF"/>
      <rgbColor rgb="FF800080"/>
      <rgbColor rgb="FF800000"/>
      <rgbColor rgb="FF008080"/>
      <rgbColor rgb="FF0000FF"/>
      <rgbColor rgb="FF00CCFF"/>
      <rgbColor rgb="FFEDF2F9"/>
      <rgbColor rgb="FFE4EFD9"/>
      <rgbColor rgb="FFFDE9D9"/>
      <rgbColor rgb="FFEFEFEF"/>
      <rgbColor rgb="FFF2F2F2"/>
      <rgbColor rgb="FFCC99FF"/>
      <rgbColor rgb="FFFCE4E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BellTbl" displayName="BellTbl" ref="A1:M27" headerRowCount="1" totalsRowCount="0" totalsRowShown="0">
  <autoFilter ref="A1:M27"/>
  <tableColumns count="13">
    <tableColumn id="1" name="Day #"/>
    <tableColumn id="2" name="Day"/>
    <tableColumn id="3" name="Period"/>
    <tableColumn id="4" name="Block"/>
    <tableColumn id="5" name="Start"/>
    <tableColumn id="6" name="End"/>
    <tableColumn id="7" name="Clock Window (min)"/>
    <tableColumn id="8" name="Instruction (min)"/>
    <tableColumn id="9" name="Lunch (min)"/>
    <tableColumn id="10" name="Scheduled Total (min)"/>
    <tableColumn id="11" name="Clock vs Scheduled"/>
    <tableColumn id="12" name="Printed Label"/>
    <tableColumn id="13" name="Notes"/>
  </tableColumns>
</table>
</file>

<file path=xl/tables/table2.xml><?xml version="1.0" encoding="utf-8"?>
<table xmlns="http://schemas.openxmlformats.org/spreadsheetml/2006/main" id="2" name="DeadlineTbl" displayName="DeadlineTbl" ref="A1:G26" headerRowCount="1" totalsRowCount="0" totalsRowShown="0">
  <autoFilter ref="A1:G26"/>
  <tableColumns count="7">
    <tableColumn id="1" name="School Level"/>
    <tableColumn id="2" name="Term"/>
    <tableColumn id="3" name="Term Days"/>
    <tableColumn id="4" name="Milestone"/>
    <tableColumn id="5" name="Date"/>
    <tableColumn id="6" name="Weekday"/>
    <tableColumn id="7" name="IPR Day Count"/>
  </tableColumns>
</table>
</file>

<file path=xl/tables/table3.xml><?xml version="1.0" encoding="utf-8"?>
<table xmlns="http://schemas.openxmlformats.org/spreadsheetml/2006/main" id="3" name="EventTbl" displayName="EventTbl" ref="A1:F48" headerRowCount="1" totalsRowCount="0" totalsRowShown="0">
  <autoFilter ref="A1:F48"/>
  <tableColumns count="6">
    <tableColumn id="1" name="Date"/>
    <tableColumn id="2" name="Weekday"/>
    <tableColumn id="3" name="Event Type"/>
    <tableColumn id="4" name="Student Status"/>
    <tableColumn id="5" name="Likely Holiday (inferred - NOT in the PDF)"/>
    <tableColumn id="6" name="Source Colour"/>
  </tableColumns>
</table>
</file>

<file path=xl/tables/table4.xml><?xml version="1.0" encoding="utf-8"?>
<table xmlns="http://schemas.openxmlformats.org/spreadsheetml/2006/main" id="4" name="LunchTbl" displayName="LunchTbl" ref="A1:G21" headerRowCount="1" totalsRowCount="0" totalsRowShown="0">
  <autoFilter ref="A1:G21"/>
  <tableColumns count="7">
    <tableColumn id="1" name="Day #"/>
    <tableColumn id="2" name="Day"/>
    <tableColumn id="3" name="Parent Block"/>
    <tableColumn id="4" name="Lunch Wave"/>
    <tableColumn id="5" name="Start"/>
    <tableColumn id="6" name="End"/>
    <tableColumn id="7" name="Minu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Relationship Id="rId4"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46"/>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2" customFormat="false" ht="15" hidden="false" customHeight="false" outlineLevel="0" collapsed="false">
      <c r="A12" s="3" t="s">
        <v>15</v>
      </c>
    </row>
    <row r="13" customFormat="false" ht="15" hidden="false" customHeight="false" outlineLevel="0" collapsed="false">
      <c r="A13" s="6" t="s">
        <v>16</v>
      </c>
      <c r="B13" s="7" t="n">
        <f aca="false">COUNTA('Bell Schedule'!D2:D27)</f>
        <v>26</v>
      </c>
    </row>
    <row r="14" customFormat="false" ht="15" hidden="false" customHeight="false" outlineLevel="0" collapsed="false">
      <c r="A14" s="6" t="s">
        <v>17</v>
      </c>
      <c r="B14" s="7" t="n">
        <f aca="false">COUNTA('Lunch Waves'!D2:D21)</f>
        <v>20</v>
      </c>
    </row>
    <row r="15" customFormat="false" ht="15" hidden="false" customHeight="false" outlineLevel="0" collapsed="false">
      <c r="A15" s="6" t="s">
        <v>18</v>
      </c>
      <c r="B15" s="7" t="n">
        <f aca="false">COUNTA('Calendar Events'!A2:A48)</f>
        <v>47</v>
      </c>
    </row>
    <row r="16" customFormat="false" ht="15" hidden="false" customHeight="false" outlineLevel="0" collapsed="false">
      <c r="A16" s="6" t="s">
        <v>19</v>
      </c>
      <c r="B16" s="7" t="n">
        <f aca="false">SUM('Monthly Counts'!B2:B11)</f>
        <v>180</v>
      </c>
    </row>
    <row r="17" customFormat="false" ht="15" hidden="false" customHeight="false" outlineLevel="0" collapsed="false">
      <c r="A17" s="6" t="s">
        <v>20</v>
      </c>
      <c r="B17" s="7" t="n">
        <f aca="false">SUM('Monthly Counts'!B2:B10)+'Monthly Counts'!C11</f>
        <v>185</v>
      </c>
    </row>
    <row r="18" customFormat="false" ht="15" hidden="false" customHeight="false" outlineLevel="0" collapsed="false">
      <c r="A18" s="6" t="s">
        <v>21</v>
      </c>
      <c r="B18" s="7" t="n">
        <f aca="false">'Block Summary'!C2</f>
        <v>240</v>
      </c>
    </row>
    <row r="20" customFormat="false" ht="15" hidden="false" customHeight="false" outlineLevel="0" collapsed="false">
      <c r="A20" s="3" t="s">
        <v>22</v>
      </c>
    </row>
    <row r="21" customFormat="false" ht="43.5" hidden="false" customHeight="true" outlineLevel="0" collapsed="false">
      <c r="A21" s="8" t="s">
        <v>23</v>
      </c>
      <c r="B21" s="8"/>
      <c r="C21" s="8"/>
    </row>
    <row r="22" customFormat="false" ht="43.5" hidden="false" customHeight="true" outlineLevel="0" collapsed="false">
      <c r="A22" s="8" t="s">
        <v>24</v>
      </c>
      <c r="B22" s="8"/>
      <c r="C22" s="8"/>
    </row>
    <row r="23" customFormat="false" ht="43.5" hidden="false" customHeight="true" outlineLevel="0" collapsed="false">
      <c r="A23" s="8" t="s">
        <v>25</v>
      </c>
      <c r="B23" s="8"/>
      <c r="C23" s="8"/>
    </row>
    <row r="24" customFormat="false" ht="43.5" hidden="false" customHeight="true" outlineLevel="0" collapsed="false">
      <c r="A24" s="8" t="s">
        <v>26</v>
      </c>
      <c r="B24" s="8"/>
      <c r="C24" s="8"/>
    </row>
    <row r="25" customFormat="false" ht="43.5" hidden="false" customHeight="true" outlineLevel="0" collapsed="false">
      <c r="A25" s="8" t="s">
        <v>27</v>
      </c>
      <c r="B25" s="8"/>
      <c r="C25" s="8"/>
    </row>
    <row r="26" customFormat="false" ht="43.5" hidden="false" customHeight="true" outlineLevel="0" collapsed="false">
      <c r="A26" s="8" t="s">
        <v>28</v>
      </c>
      <c r="B26" s="8"/>
      <c r="C26" s="8"/>
    </row>
  </sheetData>
  <mergeCells count="6">
    <mergeCell ref="A21:C21"/>
    <mergeCell ref="A22:C22"/>
    <mergeCell ref="A23:C23"/>
    <mergeCell ref="A24:C24"/>
    <mergeCell ref="A25:C2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8"/>
    <col collapsed="false" customWidth="true" hidden="false" outlineLevel="0" max="4" min="4" style="0" width="7"/>
    <col collapsed="false" customWidth="true" hidden="false" outlineLevel="0" max="6" min="5" style="0" width="11"/>
    <col collapsed="false" customWidth="true" hidden="false" outlineLevel="0" max="8" min="7" style="0" width="12"/>
    <col collapsed="false" customWidth="true" hidden="false" outlineLevel="0" max="9" min="9" style="0" width="10"/>
    <col collapsed="false" customWidth="true" hidden="false" outlineLevel="0" max="12" min="10" style="0" width="12"/>
    <col collapsed="false" customWidth="true" hidden="false" outlineLevel="0" max="13" min="13" style="0" width="46"/>
  </cols>
  <sheetData>
    <row r="1" customFormat="false" ht="33.75" hidden="false" customHeight="true" outlineLevel="0" collapsed="false">
      <c r="A1" s="9" t="s">
        <v>29</v>
      </c>
      <c r="B1" s="9" t="s">
        <v>30</v>
      </c>
      <c r="C1" s="9" t="s">
        <v>31</v>
      </c>
      <c r="D1" s="9" t="s">
        <v>32</v>
      </c>
      <c r="E1" s="9" t="s">
        <v>33</v>
      </c>
      <c r="F1" s="9" t="s">
        <v>34</v>
      </c>
      <c r="G1" s="9" t="s">
        <v>35</v>
      </c>
      <c r="H1" s="9" t="s">
        <v>36</v>
      </c>
      <c r="I1" s="9" t="s">
        <v>37</v>
      </c>
      <c r="J1" s="9" t="s">
        <v>38</v>
      </c>
      <c r="K1" s="9" t="s">
        <v>39</v>
      </c>
      <c r="L1" s="9" t="s">
        <v>40</v>
      </c>
      <c r="M1" s="9" t="s">
        <v>41</v>
      </c>
    </row>
    <row r="2" customFormat="false" ht="15" hidden="false" customHeight="false" outlineLevel="0" collapsed="false">
      <c r="A2" s="10" t="n">
        <v>1</v>
      </c>
      <c r="B2" s="11" t="s">
        <v>42</v>
      </c>
      <c r="C2" s="10" t="n">
        <v>1</v>
      </c>
      <c r="D2" s="10" t="s">
        <v>43</v>
      </c>
      <c r="E2" s="12" t="n">
        <v>0.322916666666667</v>
      </c>
      <c r="F2" s="12" t="n">
        <v>0.368055555555556</v>
      </c>
      <c r="G2" s="13" t="n">
        <f aca="false">ROUND((F2-E2)*1440,0)</f>
        <v>65</v>
      </c>
      <c r="H2" s="13" t="n">
        <v>65</v>
      </c>
      <c r="I2" s="13" t="n">
        <v>0</v>
      </c>
      <c r="J2" s="13" t="n">
        <f aca="false">H2+I2</f>
        <v>65</v>
      </c>
      <c r="K2" s="13" t="n">
        <f aca="false">G2-J2</f>
        <v>0</v>
      </c>
      <c r="L2" s="10" t="s">
        <v>44</v>
      </c>
      <c r="M2" s="11"/>
    </row>
    <row r="3" customFormat="false" ht="15" hidden="false" customHeight="false" outlineLevel="0" collapsed="false">
      <c r="A3" s="10" t="n">
        <v>1</v>
      </c>
      <c r="B3" s="11" t="s">
        <v>42</v>
      </c>
      <c r="C3" s="10" t="n">
        <v>2</v>
      </c>
      <c r="D3" s="10" t="s">
        <v>45</v>
      </c>
      <c r="E3" s="12" t="n">
        <v>0.371527777777778</v>
      </c>
      <c r="F3" s="12" t="n">
        <v>0.409722222222222</v>
      </c>
      <c r="G3" s="13" t="n">
        <f aca="false">ROUND((F3-E3)*1440,0)</f>
        <v>55</v>
      </c>
      <c r="H3" s="13" t="n">
        <v>55</v>
      </c>
      <c r="I3" s="13" t="n">
        <v>0</v>
      </c>
      <c r="J3" s="13" t="n">
        <f aca="false">H3+I3</f>
        <v>55</v>
      </c>
      <c r="K3" s="13" t="n">
        <f aca="false">G3-J3</f>
        <v>0</v>
      </c>
      <c r="L3" s="10" t="s">
        <v>46</v>
      </c>
      <c r="M3" s="11"/>
    </row>
    <row r="4" customFormat="false" ht="15" hidden="false" customHeight="false" outlineLevel="0" collapsed="false">
      <c r="A4" s="10" t="n">
        <v>1</v>
      </c>
      <c r="B4" s="11" t="s">
        <v>42</v>
      </c>
      <c r="C4" s="10" t="n">
        <v>3</v>
      </c>
      <c r="D4" s="10" t="s">
        <v>47</v>
      </c>
      <c r="E4" s="12" t="n">
        <v>0.413194444444444</v>
      </c>
      <c r="F4" s="12" t="n">
        <v>0.454861111111111</v>
      </c>
      <c r="G4" s="13" t="n">
        <f aca="false">ROUND((F4-E4)*1440,0)</f>
        <v>60</v>
      </c>
      <c r="H4" s="13" t="n">
        <v>60</v>
      </c>
      <c r="I4" s="13" t="n">
        <v>0</v>
      </c>
      <c r="J4" s="13" t="n">
        <f aca="false">H4+I4</f>
        <v>60</v>
      </c>
      <c r="K4" s="13" t="n">
        <f aca="false">G4-J4</f>
        <v>0</v>
      </c>
      <c r="L4" s="10" t="s">
        <v>48</v>
      </c>
      <c r="M4" s="11"/>
    </row>
    <row r="5" customFormat="false" ht="15" hidden="false" customHeight="false" outlineLevel="0" collapsed="false">
      <c r="A5" s="10" t="n">
        <v>1</v>
      </c>
      <c r="B5" s="11" t="s">
        <v>42</v>
      </c>
      <c r="C5" s="10" t="n">
        <v>4</v>
      </c>
      <c r="D5" s="10" t="s">
        <v>49</v>
      </c>
      <c r="E5" s="12" t="n">
        <v>0.458333333333333</v>
      </c>
      <c r="F5" s="12" t="n">
        <v>0.547916666666667</v>
      </c>
      <c r="G5" s="13" t="n">
        <f aca="false">ROUND((F5-E5)*1440,0)</f>
        <v>129</v>
      </c>
      <c r="H5" s="13" t="n">
        <v>90</v>
      </c>
      <c r="I5" s="13" t="n">
        <v>30</v>
      </c>
      <c r="J5" s="13" t="n">
        <f aca="false">H5+I5</f>
        <v>120</v>
      </c>
      <c r="K5" s="13" t="n">
        <f aca="false">G5-J5</f>
        <v>9</v>
      </c>
      <c r="L5" s="10" t="s">
        <v>50</v>
      </c>
      <c r="M5" s="11" t="s">
        <v>51</v>
      </c>
    </row>
    <row r="6" customFormat="false" ht="15" hidden="false" customHeight="false" outlineLevel="0" collapsed="false">
      <c r="A6" s="10" t="n">
        <v>1</v>
      </c>
      <c r="B6" s="11" t="s">
        <v>42</v>
      </c>
      <c r="C6" s="10" t="n">
        <v>5</v>
      </c>
      <c r="D6" s="10" t="s">
        <v>52</v>
      </c>
      <c r="E6" s="12" t="n">
        <v>0.552083333333333</v>
      </c>
      <c r="F6" s="12" t="n">
        <v>0.604166666666667</v>
      </c>
      <c r="G6" s="13" t="n">
        <f aca="false">ROUND((F6-E6)*1440,0)</f>
        <v>75</v>
      </c>
      <c r="H6" s="13" t="n">
        <v>75</v>
      </c>
      <c r="I6" s="13" t="n">
        <v>0</v>
      </c>
      <c r="J6" s="13" t="n">
        <f aca="false">H6+I6</f>
        <v>75</v>
      </c>
      <c r="K6" s="13" t="n">
        <f aca="false">G6-J6</f>
        <v>0</v>
      </c>
      <c r="L6" s="10" t="s">
        <v>53</v>
      </c>
      <c r="M6" s="11"/>
    </row>
    <row r="7" customFormat="false" ht="15" hidden="false" customHeight="false" outlineLevel="0" collapsed="false">
      <c r="A7" s="14" t="n">
        <v>2</v>
      </c>
      <c r="B7" s="15" t="s">
        <v>54</v>
      </c>
      <c r="C7" s="14" t="n">
        <v>1</v>
      </c>
      <c r="D7" s="14" t="s">
        <v>55</v>
      </c>
      <c r="E7" s="16" t="n">
        <v>0.322916666666667</v>
      </c>
      <c r="F7" s="16" t="n">
        <v>0.368055555555556</v>
      </c>
      <c r="G7" s="17" t="n">
        <f aca="false">ROUND((F7-E7)*1440,0)</f>
        <v>65</v>
      </c>
      <c r="H7" s="17" t="n">
        <v>65</v>
      </c>
      <c r="I7" s="17" t="n">
        <v>0</v>
      </c>
      <c r="J7" s="17" t="n">
        <f aca="false">H7+I7</f>
        <v>65</v>
      </c>
      <c r="K7" s="17" t="n">
        <f aca="false">G7-J7</f>
        <v>0</v>
      </c>
      <c r="L7" s="14" t="s">
        <v>44</v>
      </c>
      <c r="M7" s="15"/>
    </row>
    <row r="8" customFormat="false" ht="15" hidden="false" customHeight="false" outlineLevel="0" collapsed="false">
      <c r="A8" s="14" t="n">
        <v>2</v>
      </c>
      <c r="B8" s="15" t="s">
        <v>54</v>
      </c>
      <c r="C8" s="14" t="n">
        <v>2</v>
      </c>
      <c r="D8" s="14" t="s">
        <v>43</v>
      </c>
      <c r="E8" s="16" t="n">
        <v>0.371527777777778</v>
      </c>
      <c r="F8" s="16" t="n">
        <v>0.409722222222222</v>
      </c>
      <c r="G8" s="17" t="n">
        <f aca="false">ROUND((F8-E8)*1440,0)</f>
        <v>55</v>
      </c>
      <c r="H8" s="17" t="n">
        <v>55</v>
      </c>
      <c r="I8" s="17" t="n">
        <v>0</v>
      </c>
      <c r="J8" s="17" t="n">
        <f aca="false">H8+I8</f>
        <v>55</v>
      </c>
      <c r="K8" s="17" t="n">
        <f aca="false">G8-J8</f>
        <v>0</v>
      </c>
      <c r="L8" s="14" t="s">
        <v>46</v>
      </c>
      <c r="M8" s="15"/>
    </row>
    <row r="9" customFormat="false" ht="15" hidden="false" customHeight="false" outlineLevel="0" collapsed="false">
      <c r="A9" s="14" t="n">
        <v>2</v>
      </c>
      <c r="B9" s="15" t="s">
        <v>54</v>
      </c>
      <c r="C9" s="14" t="n">
        <v>3</v>
      </c>
      <c r="D9" s="14" t="s">
        <v>45</v>
      </c>
      <c r="E9" s="16" t="n">
        <v>0.413194444444444</v>
      </c>
      <c r="F9" s="16" t="n">
        <v>0.458333333333333</v>
      </c>
      <c r="G9" s="17" t="n">
        <f aca="false">ROUND((F9-E9)*1440,0)</f>
        <v>65</v>
      </c>
      <c r="H9" s="17" t="n">
        <v>65</v>
      </c>
      <c r="I9" s="17" t="n">
        <v>0</v>
      </c>
      <c r="J9" s="17" t="n">
        <f aca="false">H9+I9</f>
        <v>65</v>
      </c>
      <c r="K9" s="17" t="n">
        <f aca="false">G9-J9</f>
        <v>0</v>
      </c>
      <c r="L9" s="14" t="s">
        <v>44</v>
      </c>
      <c r="M9" s="15"/>
    </row>
    <row r="10" customFormat="false" ht="15" hidden="false" customHeight="false" outlineLevel="0" collapsed="false">
      <c r="A10" s="14" t="n">
        <v>2</v>
      </c>
      <c r="B10" s="15" t="s">
        <v>54</v>
      </c>
      <c r="C10" s="14" t="n">
        <v>4</v>
      </c>
      <c r="D10" s="14" t="s">
        <v>47</v>
      </c>
      <c r="E10" s="16" t="n">
        <v>0.461805555555556</v>
      </c>
      <c r="F10" s="16" t="n">
        <v>0.551388888888889</v>
      </c>
      <c r="G10" s="17" t="n">
        <f aca="false">ROUND((F10-E10)*1440,0)</f>
        <v>129</v>
      </c>
      <c r="H10" s="17" t="n">
        <v>90</v>
      </c>
      <c r="I10" s="17" t="n">
        <v>30</v>
      </c>
      <c r="J10" s="17" t="n">
        <f aca="false">H10+I10</f>
        <v>120</v>
      </c>
      <c r="K10" s="17" t="n">
        <f aca="false">G10-J10</f>
        <v>9</v>
      </c>
      <c r="L10" s="14" t="s">
        <v>50</v>
      </c>
      <c r="M10" s="15" t="s">
        <v>51</v>
      </c>
    </row>
    <row r="11" customFormat="false" ht="15" hidden="false" customHeight="false" outlineLevel="0" collapsed="false">
      <c r="A11" s="14" t="n">
        <v>2</v>
      </c>
      <c r="B11" s="15" t="s">
        <v>54</v>
      </c>
      <c r="C11" s="14" t="n">
        <v>5</v>
      </c>
      <c r="D11" s="14" t="s">
        <v>56</v>
      </c>
      <c r="E11" s="16" t="n">
        <v>0.555555555555556</v>
      </c>
      <c r="F11" s="16" t="n">
        <v>0.604166666666667</v>
      </c>
      <c r="G11" s="17" t="n">
        <f aca="false">ROUND((F11-E11)*1440,0)</f>
        <v>70</v>
      </c>
      <c r="H11" s="17" t="n">
        <v>70</v>
      </c>
      <c r="I11" s="17" t="n">
        <v>0</v>
      </c>
      <c r="J11" s="17" t="n">
        <f aca="false">H11+I11</f>
        <v>70</v>
      </c>
      <c r="K11" s="17" t="n">
        <f aca="false">G11-J11</f>
        <v>0</v>
      </c>
      <c r="L11" s="14" t="s">
        <v>57</v>
      </c>
      <c r="M11" s="15"/>
    </row>
    <row r="12" customFormat="false" ht="15" hidden="false" customHeight="false" outlineLevel="0" collapsed="false">
      <c r="A12" s="18" t="n">
        <v>3</v>
      </c>
      <c r="B12" s="19" t="s">
        <v>58</v>
      </c>
      <c r="C12" s="18" t="n">
        <v>1</v>
      </c>
      <c r="D12" s="18" t="s">
        <v>43</v>
      </c>
      <c r="E12" s="20" t="n">
        <v>0.322916666666667</v>
      </c>
      <c r="F12" s="20" t="n">
        <v>0.368055555555556</v>
      </c>
      <c r="G12" s="21" t="n">
        <f aca="false">ROUND((F12-E12)*1440,0)</f>
        <v>65</v>
      </c>
      <c r="H12" s="21" t="n">
        <v>65</v>
      </c>
      <c r="I12" s="21" t="n">
        <v>0</v>
      </c>
      <c r="J12" s="21" t="n">
        <f aca="false">H12+I12</f>
        <v>65</v>
      </c>
      <c r="K12" s="21" t="n">
        <f aca="false">G12-J12</f>
        <v>0</v>
      </c>
      <c r="L12" s="18" t="s">
        <v>44</v>
      </c>
      <c r="M12" s="19"/>
    </row>
    <row r="13" customFormat="false" ht="15" hidden="false" customHeight="false" outlineLevel="0" collapsed="false">
      <c r="A13" s="18" t="n">
        <v>3</v>
      </c>
      <c r="B13" s="19" t="s">
        <v>58</v>
      </c>
      <c r="C13" s="18" t="n">
        <v>2</v>
      </c>
      <c r="D13" s="18" t="s">
        <v>55</v>
      </c>
      <c r="E13" s="20" t="n">
        <v>0.370833333333333</v>
      </c>
      <c r="F13" s="20" t="n">
        <v>0.402083333333333</v>
      </c>
      <c r="G13" s="21" t="n">
        <f aca="false">ROUND((F13-E13)*1440,0)</f>
        <v>45</v>
      </c>
      <c r="H13" s="21" t="n">
        <v>45</v>
      </c>
      <c r="I13" s="21" t="n">
        <v>0</v>
      </c>
      <c r="J13" s="21" t="n">
        <f aca="false">H13+I13</f>
        <v>45</v>
      </c>
      <c r="K13" s="21" t="n">
        <f aca="false">G13-J13</f>
        <v>0</v>
      </c>
      <c r="L13" s="18" t="s">
        <v>59</v>
      </c>
      <c r="M13" s="19"/>
    </row>
    <row r="14" customFormat="false" ht="15" hidden="false" customHeight="false" outlineLevel="0" collapsed="false">
      <c r="A14" s="18" t="n">
        <v>3</v>
      </c>
      <c r="B14" s="19" t="s">
        <v>58</v>
      </c>
      <c r="C14" s="18" t="n">
        <v>3</v>
      </c>
      <c r="D14" s="18" t="s">
        <v>60</v>
      </c>
      <c r="E14" s="20" t="n">
        <v>0.404861111111111</v>
      </c>
      <c r="F14" s="20" t="n">
        <v>0.436111111111111</v>
      </c>
      <c r="G14" s="21" t="n">
        <f aca="false">ROUND((F14-E14)*1440,0)</f>
        <v>45</v>
      </c>
      <c r="H14" s="21" t="n">
        <v>45</v>
      </c>
      <c r="I14" s="21" t="n">
        <v>0</v>
      </c>
      <c r="J14" s="21" t="n">
        <f aca="false">H14+I14</f>
        <v>45</v>
      </c>
      <c r="K14" s="21" t="n">
        <f aca="false">G14-J14</f>
        <v>0</v>
      </c>
      <c r="L14" s="18" t="s">
        <v>59</v>
      </c>
      <c r="M14" s="19" t="s">
        <v>61</v>
      </c>
    </row>
    <row r="15" customFormat="false" ht="15" hidden="false" customHeight="false" outlineLevel="0" collapsed="false">
      <c r="A15" s="18" t="n">
        <v>3</v>
      </c>
      <c r="B15" s="19" t="s">
        <v>58</v>
      </c>
      <c r="C15" s="18" t="n">
        <v>4</v>
      </c>
      <c r="D15" s="18" t="s">
        <v>56</v>
      </c>
      <c r="E15" s="20" t="n">
        <v>0.438888888888889</v>
      </c>
      <c r="F15" s="20" t="n">
        <v>0.466666666666667</v>
      </c>
      <c r="G15" s="21" t="n">
        <f aca="false">ROUND((F15-E15)*1440,0)</f>
        <v>40</v>
      </c>
      <c r="H15" s="21" t="n">
        <v>40</v>
      </c>
      <c r="I15" s="21" t="n">
        <v>0</v>
      </c>
      <c r="J15" s="21" t="n">
        <f aca="false">H15+I15</f>
        <v>40</v>
      </c>
      <c r="K15" s="21" t="n">
        <f aca="false">G15-J15</f>
        <v>0</v>
      </c>
      <c r="L15" s="18" t="s">
        <v>62</v>
      </c>
      <c r="M15" s="19"/>
    </row>
    <row r="16" customFormat="false" ht="15" hidden="false" customHeight="false" outlineLevel="0" collapsed="false">
      <c r="A16" s="18" t="n">
        <v>3</v>
      </c>
      <c r="B16" s="19" t="s">
        <v>58</v>
      </c>
      <c r="C16" s="18" t="n">
        <v>5</v>
      </c>
      <c r="D16" s="18" t="s">
        <v>52</v>
      </c>
      <c r="E16" s="20" t="n">
        <v>0.469444444444444</v>
      </c>
      <c r="F16" s="20" t="n">
        <v>0.559027777777778</v>
      </c>
      <c r="G16" s="21" t="n">
        <f aca="false">ROUND((F16-E16)*1440,0)</f>
        <v>129</v>
      </c>
      <c r="H16" s="21" t="n">
        <v>90</v>
      </c>
      <c r="I16" s="21" t="n">
        <v>30</v>
      </c>
      <c r="J16" s="21" t="n">
        <f aca="false">H16+I16</f>
        <v>120</v>
      </c>
      <c r="K16" s="21" t="n">
        <f aca="false">G16-J16</f>
        <v>9</v>
      </c>
      <c r="L16" s="18" t="s">
        <v>50</v>
      </c>
      <c r="M16" s="19" t="s">
        <v>51</v>
      </c>
    </row>
    <row r="17" customFormat="false" ht="15" hidden="false" customHeight="false" outlineLevel="0" collapsed="false">
      <c r="A17" s="18" t="n">
        <v>3</v>
      </c>
      <c r="B17" s="19" t="s">
        <v>58</v>
      </c>
      <c r="C17" s="18" t="n">
        <v>6</v>
      </c>
      <c r="D17" s="18" t="s">
        <v>49</v>
      </c>
      <c r="E17" s="20" t="n">
        <v>0.561805555555556</v>
      </c>
      <c r="F17" s="20" t="n">
        <v>0.604166666666667</v>
      </c>
      <c r="G17" s="21" t="n">
        <f aca="false">ROUND((F17-E17)*1440,0)</f>
        <v>61</v>
      </c>
      <c r="H17" s="21" t="n">
        <v>60</v>
      </c>
      <c r="I17" s="21" t="n">
        <v>0</v>
      </c>
      <c r="J17" s="21" t="n">
        <f aca="false">H17+I17</f>
        <v>60</v>
      </c>
      <c r="K17" s="21" t="n">
        <f aca="false">G17-J17</f>
        <v>1</v>
      </c>
      <c r="L17" s="18" t="s">
        <v>48</v>
      </c>
      <c r="M17" s="19" t="s">
        <v>63</v>
      </c>
    </row>
    <row r="18" customFormat="false" ht="15" hidden="false" customHeight="false" outlineLevel="0" collapsed="false">
      <c r="A18" s="22" t="n">
        <v>4</v>
      </c>
      <c r="B18" s="23" t="s">
        <v>64</v>
      </c>
      <c r="C18" s="22" t="n">
        <v>1</v>
      </c>
      <c r="D18" s="22" t="s">
        <v>55</v>
      </c>
      <c r="E18" s="24" t="n">
        <v>0.322916666666667</v>
      </c>
      <c r="F18" s="24" t="n">
        <v>0.368055555555556</v>
      </c>
      <c r="G18" s="25" t="n">
        <f aca="false">ROUND((F18-E18)*1440,0)</f>
        <v>65</v>
      </c>
      <c r="H18" s="25" t="n">
        <v>65</v>
      </c>
      <c r="I18" s="25" t="n">
        <v>0</v>
      </c>
      <c r="J18" s="25" t="n">
        <f aca="false">H18+I18</f>
        <v>65</v>
      </c>
      <c r="K18" s="25" t="n">
        <f aca="false">G18-J18</f>
        <v>0</v>
      </c>
      <c r="L18" s="22" t="s">
        <v>44</v>
      </c>
      <c r="M18" s="23"/>
    </row>
    <row r="19" customFormat="false" ht="15" hidden="false" customHeight="false" outlineLevel="0" collapsed="false">
      <c r="A19" s="22" t="n">
        <v>4</v>
      </c>
      <c r="B19" s="23" t="s">
        <v>64</v>
      </c>
      <c r="C19" s="22" t="n">
        <v>2</v>
      </c>
      <c r="D19" s="22" t="s">
        <v>43</v>
      </c>
      <c r="E19" s="24" t="n">
        <v>0.371527777777778</v>
      </c>
      <c r="F19" s="24" t="n">
        <v>0.409722222222222</v>
      </c>
      <c r="G19" s="25" t="n">
        <f aca="false">ROUND((F19-E19)*1440,0)</f>
        <v>55</v>
      </c>
      <c r="H19" s="25" t="n">
        <v>55</v>
      </c>
      <c r="I19" s="25" t="n">
        <v>0</v>
      </c>
      <c r="J19" s="25" t="n">
        <f aca="false">H19+I19</f>
        <v>55</v>
      </c>
      <c r="K19" s="25" t="n">
        <f aca="false">G19-J19</f>
        <v>0</v>
      </c>
      <c r="L19" s="22" t="s">
        <v>46</v>
      </c>
      <c r="M19" s="23"/>
    </row>
    <row r="20" customFormat="false" ht="15" hidden="false" customHeight="false" outlineLevel="0" collapsed="false">
      <c r="A20" s="22" t="n">
        <v>4</v>
      </c>
      <c r="B20" s="23" t="s">
        <v>64</v>
      </c>
      <c r="C20" s="22" t="n">
        <v>3</v>
      </c>
      <c r="D20" s="22" t="s">
        <v>45</v>
      </c>
      <c r="E20" s="24" t="n">
        <v>0.413194444444444</v>
      </c>
      <c r="F20" s="24" t="n">
        <v>0.458333333333333</v>
      </c>
      <c r="G20" s="25" t="n">
        <f aca="false">ROUND((F20-E20)*1440,0)</f>
        <v>65</v>
      </c>
      <c r="H20" s="25" t="n">
        <v>65</v>
      </c>
      <c r="I20" s="25" t="n">
        <v>0</v>
      </c>
      <c r="J20" s="25" t="n">
        <f aca="false">H20+I20</f>
        <v>65</v>
      </c>
      <c r="K20" s="25" t="n">
        <f aca="false">G20-J20</f>
        <v>0</v>
      </c>
      <c r="L20" s="22" t="s">
        <v>44</v>
      </c>
      <c r="M20" s="23"/>
    </row>
    <row r="21" customFormat="false" ht="15" hidden="false" customHeight="false" outlineLevel="0" collapsed="false">
      <c r="A21" s="22" t="n">
        <v>4</v>
      </c>
      <c r="B21" s="23" t="s">
        <v>64</v>
      </c>
      <c r="C21" s="22" t="n">
        <v>4</v>
      </c>
      <c r="D21" s="22" t="s">
        <v>47</v>
      </c>
      <c r="E21" s="24" t="n">
        <v>0.461805555555556</v>
      </c>
      <c r="F21" s="24" t="n">
        <v>0.551388888888889</v>
      </c>
      <c r="G21" s="25" t="n">
        <f aca="false">ROUND((F21-E21)*1440,0)</f>
        <v>129</v>
      </c>
      <c r="H21" s="25" t="n">
        <v>90</v>
      </c>
      <c r="I21" s="25" t="n">
        <v>30</v>
      </c>
      <c r="J21" s="25" t="n">
        <f aca="false">H21+I21</f>
        <v>120</v>
      </c>
      <c r="K21" s="25" t="n">
        <f aca="false">G21-J21</f>
        <v>9</v>
      </c>
      <c r="L21" s="22" t="s">
        <v>50</v>
      </c>
      <c r="M21" s="23" t="s">
        <v>51</v>
      </c>
    </row>
    <row r="22" customFormat="false" ht="15" hidden="false" customHeight="false" outlineLevel="0" collapsed="false">
      <c r="A22" s="22" t="n">
        <v>4</v>
      </c>
      <c r="B22" s="23" t="s">
        <v>64</v>
      </c>
      <c r="C22" s="22" t="n">
        <v>5</v>
      </c>
      <c r="D22" s="22" t="s">
        <v>56</v>
      </c>
      <c r="E22" s="24" t="n">
        <v>0.555555555555556</v>
      </c>
      <c r="F22" s="24" t="n">
        <v>0.604166666666667</v>
      </c>
      <c r="G22" s="25" t="n">
        <f aca="false">ROUND((F22-E22)*1440,0)</f>
        <v>70</v>
      </c>
      <c r="H22" s="25" t="n">
        <v>70</v>
      </c>
      <c r="I22" s="25" t="n">
        <v>0</v>
      </c>
      <c r="J22" s="25" t="n">
        <f aca="false">H22+I22</f>
        <v>70</v>
      </c>
      <c r="K22" s="25" t="n">
        <f aca="false">G22-J22</f>
        <v>0</v>
      </c>
      <c r="L22" s="22" t="s">
        <v>57</v>
      </c>
      <c r="M22" s="23"/>
    </row>
    <row r="23" customFormat="false" ht="15" hidden="false" customHeight="false" outlineLevel="0" collapsed="false">
      <c r="A23" s="26" t="n">
        <v>5</v>
      </c>
      <c r="B23" s="27" t="s">
        <v>65</v>
      </c>
      <c r="C23" s="26" t="n">
        <v>1</v>
      </c>
      <c r="D23" s="26" t="s">
        <v>55</v>
      </c>
      <c r="E23" s="28" t="n">
        <v>0.322916666666667</v>
      </c>
      <c r="F23" s="28" t="n">
        <v>0.368055555555556</v>
      </c>
      <c r="G23" s="29" t="n">
        <f aca="false">ROUND((F23-E23)*1440,0)</f>
        <v>65</v>
      </c>
      <c r="H23" s="29" t="n">
        <v>65</v>
      </c>
      <c r="I23" s="29" t="n">
        <v>0</v>
      </c>
      <c r="J23" s="29" t="n">
        <f aca="false">H23+I23</f>
        <v>65</v>
      </c>
      <c r="K23" s="29" t="n">
        <f aca="false">G23-J23</f>
        <v>0</v>
      </c>
      <c r="L23" s="26" t="s">
        <v>44</v>
      </c>
      <c r="M23" s="27"/>
    </row>
    <row r="24" customFormat="false" ht="15" hidden="false" customHeight="false" outlineLevel="0" collapsed="false">
      <c r="A24" s="26" t="n">
        <v>5</v>
      </c>
      <c r="B24" s="27" t="s">
        <v>65</v>
      </c>
      <c r="C24" s="26" t="n">
        <v>2</v>
      </c>
      <c r="D24" s="26" t="s">
        <v>45</v>
      </c>
      <c r="E24" s="28" t="n">
        <v>0.371527777777778</v>
      </c>
      <c r="F24" s="28" t="n">
        <v>0.409722222222222</v>
      </c>
      <c r="G24" s="29" t="n">
        <f aca="false">ROUND((F24-E24)*1440,0)</f>
        <v>55</v>
      </c>
      <c r="H24" s="29" t="n">
        <v>55</v>
      </c>
      <c r="I24" s="29" t="n">
        <v>0</v>
      </c>
      <c r="J24" s="29" t="n">
        <f aca="false">H24+I24</f>
        <v>55</v>
      </c>
      <c r="K24" s="29" t="n">
        <f aca="false">G24-J24</f>
        <v>0</v>
      </c>
      <c r="L24" s="26" t="s">
        <v>46</v>
      </c>
      <c r="M24" s="27"/>
    </row>
    <row r="25" customFormat="false" ht="15" hidden="false" customHeight="false" outlineLevel="0" collapsed="false">
      <c r="A25" s="26" t="n">
        <v>5</v>
      </c>
      <c r="B25" s="27" t="s">
        <v>65</v>
      </c>
      <c r="C25" s="26" t="n">
        <v>3</v>
      </c>
      <c r="D25" s="26" t="s">
        <v>56</v>
      </c>
      <c r="E25" s="28" t="n">
        <v>0.413194444444444</v>
      </c>
      <c r="F25" s="28" t="n">
        <v>0.454861111111111</v>
      </c>
      <c r="G25" s="29" t="n">
        <f aca="false">ROUND((F25-E25)*1440,0)</f>
        <v>60</v>
      </c>
      <c r="H25" s="29" t="n">
        <v>60</v>
      </c>
      <c r="I25" s="29" t="n">
        <v>0</v>
      </c>
      <c r="J25" s="29" t="n">
        <f aca="false">H25+I25</f>
        <v>60</v>
      </c>
      <c r="K25" s="29" t="n">
        <f aca="false">G25-J25</f>
        <v>0</v>
      </c>
      <c r="L25" s="26" t="s">
        <v>48</v>
      </c>
      <c r="M25" s="27"/>
    </row>
    <row r="26" customFormat="false" ht="15" hidden="false" customHeight="false" outlineLevel="0" collapsed="false">
      <c r="A26" s="26" t="n">
        <v>5</v>
      </c>
      <c r="B26" s="27" t="s">
        <v>65</v>
      </c>
      <c r="C26" s="26" t="n">
        <v>4</v>
      </c>
      <c r="D26" s="26" t="s">
        <v>49</v>
      </c>
      <c r="E26" s="28" t="n">
        <v>0.458333333333333</v>
      </c>
      <c r="F26" s="28" t="n">
        <v>0.549305555555556</v>
      </c>
      <c r="G26" s="29" t="n">
        <f aca="false">ROUND((F26-E26)*1440,0)</f>
        <v>131</v>
      </c>
      <c r="H26" s="29" t="n">
        <v>90</v>
      </c>
      <c r="I26" s="29" t="n">
        <v>30</v>
      </c>
      <c r="J26" s="29" t="n">
        <f aca="false">H26+I26</f>
        <v>120</v>
      </c>
      <c r="K26" s="29" t="n">
        <f aca="false">G26-J26</f>
        <v>11</v>
      </c>
      <c r="L26" s="26" t="s">
        <v>50</v>
      </c>
      <c r="M26" s="27" t="s">
        <v>51</v>
      </c>
    </row>
    <row r="27" customFormat="false" ht="15" hidden="false" customHeight="false" outlineLevel="0" collapsed="false">
      <c r="A27" s="26" t="n">
        <v>5</v>
      </c>
      <c r="B27" s="27" t="s">
        <v>65</v>
      </c>
      <c r="C27" s="26" t="n">
        <v>5</v>
      </c>
      <c r="D27" s="26" t="s">
        <v>52</v>
      </c>
      <c r="E27" s="28" t="n">
        <v>0.552083333333333</v>
      </c>
      <c r="F27" s="28" t="n">
        <v>0.604166666666667</v>
      </c>
      <c r="G27" s="29" t="n">
        <f aca="false">ROUND((F27-E27)*1440,0)</f>
        <v>75</v>
      </c>
      <c r="H27" s="29" t="n">
        <v>75</v>
      </c>
      <c r="I27" s="29" t="n">
        <v>0</v>
      </c>
      <c r="J27" s="29" t="n">
        <f aca="false">H27+I27</f>
        <v>75</v>
      </c>
      <c r="K27" s="29" t="n">
        <f aca="false">G27-J27</f>
        <v>0</v>
      </c>
      <c r="L27" s="26" t="s">
        <v>53</v>
      </c>
      <c r="M27" s="27"/>
    </row>
    <row r="29" customFormat="false" ht="15" hidden="false" customHeight="false" outlineLevel="0" collapsed="false">
      <c r="A29" s="2" t="s">
        <v>66</v>
      </c>
    </row>
  </sheetData>
  <autoFilter ref="A1:M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6" min="5" style="0" width="11"/>
    <col collapsed="false" customWidth="true" hidden="false" outlineLevel="0" max="7" min="7" style="0" width="10"/>
  </cols>
  <sheetData>
    <row r="1" customFormat="false" ht="33.75" hidden="false" customHeight="true" outlineLevel="0" collapsed="false">
      <c r="A1" s="9" t="s">
        <v>29</v>
      </c>
      <c r="B1" s="9" t="s">
        <v>30</v>
      </c>
      <c r="C1" s="9" t="s">
        <v>67</v>
      </c>
      <c r="D1" s="9" t="s">
        <v>68</v>
      </c>
      <c r="E1" s="9" t="s">
        <v>33</v>
      </c>
      <c r="F1" s="9" t="s">
        <v>34</v>
      </c>
      <c r="G1" s="9" t="s">
        <v>69</v>
      </c>
    </row>
    <row r="2" customFormat="false" ht="15" hidden="false" customHeight="false" outlineLevel="0" collapsed="false">
      <c r="A2" s="10" t="n">
        <v>1</v>
      </c>
      <c r="B2" s="30" t="s">
        <v>42</v>
      </c>
      <c r="C2" s="10" t="s">
        <v>49</v>
      </c>
      <c r="D2" s="10" t="s">
        <v>70</v>
      </c>
      <c r="E2" s="12" t="n">
        <v>0.458333333333333</v>
      </c>
      <c r="F2" s="12" t="n">
        <v>0.479166666666667</v>
      </c>
      <c r="G2" s="13" t="n">
        <f aca="false">ROUND((F2-E2)*1440,0)</f>
        <v>30</v>
      </c>
    </row>
    <row r="3" customFormat="false" ht="15" hidden="false" customHeight="false" outlineLevel="0" collapsed="false">
      <c r="A3" s="10" t="n">
        <v>1</v>
      </c>
      <c r="B3" s="30" t="s">
        <v>42</v>
      </c>
      <c r="C3" s="10" t="s">
        <v>49</v>
      </c>
      <c r="D3" s="10" t="s">
        <v>71</v>
      </c>
      <c r="E3" s="12" t="n">
        <v>0.48125</v>
      </c>
      <c r="F3" s="12" t="n">
        <v>0.502083333333333</v>
      </c>
      <c r="G3" s="13" t="n">
        <f aca="false">ROUND((F3-E3)*1440,0)</f>
        <v>30</v>
      </c>
    </row>
    <row r="4" customFormat="false" ht="15" hidden="false" customHeight="false" outlineLevel="0" collapsed="false">
      <c r="A4" s="10" t="n">
        <v>1</v>
      </c>
      <c r="B4" s="30" t="s">
        <v>42</v>
      </c>
      <c r="C4" s="10" t="s">
        <v>49</v>
      </c>
      <c r="D4" s="10" t="s">
        <v>72</v>
      </c>
      <c r="E4" s="12" t="n">
        <v>0.504166666666667</v>
      </c>
      <c r="F4" s="12" t="n">
        <v>0.525</v>
      </c>
      <c r="G4" s="13" t="n">
        <f aca="false">ROUND((F4-E4)*1440,0)</f>
        <v>30</v>
      </c>
    </row>
    <row r="5" customFormat="false" ht="15" hidden="false" customHeight="false" outlineLevel="0" collapsed="false">
      <c r="A5" s="10" t="n">
        <v>1</v>
      </c>
      <c r="B5" s="30" t="s">
        <v>42</v>
      </c>
      <c r="C5" s="10" t="s">
        <v>49</v>
      </c>
      <c r="D5" s="10" t="s">
        <v>73</v>
      </c>
      <c r="E5" s="12" t="n">
        <v>0.527083333333333</v>
      </c>
      <c r="F5" s="12" t="n">
        <v>0.547916666666667</v>
      </c>
      <c r="G5" s="13" t="n">
        <f aca="false">ROUND((F5-E5)*1440,0)</f>
        <v>30</v>
      </c>
    </row>
    <row r="6" customFormat="false" ht="15" hidden="false" customHeight="false" outlineLevel="0" collapsed="false">
      <c r="A6" s="14" t="n">
        <v>2</v>
      </c>
      <c r="B6" s="31" t="s">
        <v>54</v>
      </c>
      <c r="C6" s="14" t="s">
        <v>47</v>
      </c>
      <c r="D6" s="14" t="s">
        <v>70</v>
      </c>
      <c r="E6" s="16" t="n">
        <v>0.461805555555556</v>
      </c>
      <c r="F6" s="16" t="n">
        <v>0.482638888888889</v>
      </c>
      <c r="G6" s="17" t="n">
        <f aca="false">ROUND((F6-E6)*1440,0)</f>
        <v>30</v>
      </c>
    </row>
    <row r="7" customFormat="false" ht="15" hidden="false" customHeight="false" outlineLevel="0" collapsed="false">
      <c r="A7" s="14" t="n">
        <v>2</v>
      </c>
      <c r="B7" s="31" t="s">
        <v>54</v>
      </c>
      <c r="C7" s="14" t="s">
        <v>47</v>
      </c>
      <c r="D7" s="14" t="s">
        <v>71</v>
      </c>
      <c r="E7" s="16" t="n">
        <v>0.484722222222222</v>
      </c>
      <c r="F7" s="16" t="n">
        <v>0.505555555555556</v>
      </c>
      <c r="G7" s="17" t="n">
        <f aca="false">ROUND((F7-E7)*1440,0)</f>
        <v>30</v>
      </c>
    </row>
    <row r="8" customFormat="false" ht="15" hidden="false" customHeight="false" outlineLevel="0" collapsed="false">
      <c r="A8" s="14" t="n">
        <v>2</v>
      </c>
      <c r="B8" s="31" t="s">
        <v>54</v>
      </c>
      <c r="C8" s="14" t="s">
        <v>47</v>
      </c>
      <c r="D8" s="14" t="s">
        <v>72</v>
      </c>
      <c r="E8" s="16" t="n">
        <v>0.507638888888889</v>
      </c>
      <c r="F8" s="16" t="n">
        <v>0.528472222222222</v>
      </c>
      <c r="G8" s="17" t="n">
        <f aca="false">ROUND((F8-E8)*1440,0)</f>
        <v>30</v>
      </c>
    </row>
    <row r="9" customFormat="false" ht="15" hidden="false" customHeight="false" outlineLevel="0" collapsed="false">
      <c r="A9" s="14" t="n">
        <v>2</v>
      </c>
      <c r="B9" s="31" t="s">
        <v>54</v>
      </c>
      <c r="C9" s="14" t="s">
        <v>47</v>
      </c>
      <c r="D9" s="14" t="s">
        <v>73</v>
      </c>
      <c r="E9" s="16" t="n">
        <v>0.530555555555556</v>
      </c>
      <c r="F9" s="16" t="n">
        <v>0.551388888888889</v>
      </c>
      <c r="G9" s="17" t="n">
        <f aca="false">ROUND((F9-E9)*1440,0)</f>
        <v>30</v>
      </c>
    </row>
    <row r="10" customFormat="false" ht="15" hidden="false" customHeight="false" outlineLevel="0" collapsed="false">
      <c r="A10" s="18" t="n">
        <v>3</v>
      </c>
      <c r="B10" s="32" t="s">
        <v>58</v>
      </c>
      <c r="C10" s="18" t="s">
        <v>52</v>
      </c>
      <c r="D10" s="18" t="s">
        <v>70</v>
      </c>
      <c r="E10" s="20" t="n">
        <v>0.469444444444444</v>
      </c>
      <c r="F10" s="20" t="n">
        <v>0.490277777777778</v>
      </c>
      <c r="G10" s="21" t="n">
        <f aca="false">ROUND((F10-E10)*1440,0)</f>
        <v>30</v>
      </c>
    </row>
    <row r="11" customFormat="false" ht="15" hidden="false" customHeight="false" outlineLevel="0" collapsed="false">
      <c r="A11" s="18" t="n">
        <v>3</v>
      </c>
      <c r="B11" s="32" t="s">
        <v>58</v>
      </c>
      <c r="C11" s="18" t="s">
        <v>52</v>
      </c>
      <c r="D11" s="18" t="s">
        <v>71</v>
      </c>
      <c r="E11" s="20" t="n">
        <v>0.492361111111111</v>
      </c>
      <c r="F11" s="20" t="n">
        <v>0.513194444444444</v>
      </c>
      <c r="G11" s="21" t="n">
        <f aca="false">ROUND((F11-E11)*1440,0)</f>
        <v>30</v>
      </c>
    </row>
    <row r="12" customFormat="false" ht="15" hidden="false" customHeight="false" outlineLevel="0" collapsed="false">
      <c r="A12" s="18" t="n">
        <v>3</v>
      </c>
      <c r="B12" s="32" t="s">
        <v>58</v>
      </c>
      <c r="C12" s="18" t="s">
        <v>52</v>
      </c>
      <c r="D12" s="18" t="s">
        <v>72</v>
      </c>
      <c r="E12" s="20" t="n">
        <v>0.515277777777778</v>
      </c>
      <c r="F12" s="20" t="n">
        <v>0.536111111111111</v>
      </c>
      <c r="G12" s="21" t="n">
        <f aca="false">ROUND((F12-E12)*1440,0)</f>
        <v>30</v>
      </c>
    </row>
    <row r="13" customFormat="false" ht="15" hidden="false" customHeight="false" outlineLevel="0" collapsed="false">
      <c r="A13" s="18" t="n">
        <v>3</v>
      </c>
      <c r="B13" s="32" t="s">
        <v>58</v>
      </c>
      <c r="C13" s="18" t="s">
        <v>52</v>
      </c>
      <c r="D13" s="18" t="s">
        <v>73</v>
      </c>
      <c r="E13" s="20" t="n">
        <v>0.538194444444444</v>
      </c>
      <c r="F13" s="20" t="n">
        <v>0.559027777777778</v>
      </c>
      <c r="G13" s="21" t="n">
        <f aca="false">ROUND((F13-E13)*1440,0)</f>
        <v>30</v>
      </c>
    </row>
    <row r="14" customFormat="false" ht="15" hidden="false" customHeight="false" outlineLevel="0" collapsed="false">
      <c r="A14" s="22" t="n">
        <v>4</v>
      </c>
      <c r="B14" s="33" t="s">
        <v>64</v>
      </c>
      <c r="C14" s="22" t="s">
        <v>47</v>
      </c>
      <c r="D14" s="22" t="s">
        <v>70</v>
      </c>
      <c r="E14" s="24" t="n">
        <v>0.461805555555556</v>
      </c>
      <c r="F14" s="24" t="n">
        <v>0.482638888888889</v>
      </c>
      <c r="G14" s="25" t="n">
        <f aca="false">ROUND((F14-E14)*1440,0)</f>
        <v>30</v>
      </c>
    </row>
    <row r="15" customFormat="false" ht="15" hidden="false" customHeight="false" outlineLevel="0" collapsed="false">
      <c r="A15" s="22" t="n">
        <v>4</v>
      </c>
      <c r="B15" s="33" t="s">
        <v>64</v>
      </c>
      <c r="C15" s="22" t="s">
        <v>47</v>
      </c>
      <c r="D15" s="22" t="s">
        <v>71</v>
      </c>
      <c r="E15" s="24" t="n">
        <v>0.484722222222222</v>
      </c>
      <c r="F15" s="24" t="n">
        <v>0.505555555555556</v>
      </c>
      <c r="G15" s="25" t="n">
        <f aca="false">ROUND((F15-E15)*1440,0)</f>
        <v>30</v>
      </c>
    </row>
    <row r="16" customFormat="false" ht="15" hidden="false" customHeight="false" outlineLevel="0" collapsed="false">
      <c r="A16" s="22" t="n">
        <v>4</v>
      </c>
      <c r="B16" s="33" t="s">
        <v>64</v>
      </c>
      <c r="C16" s="22" t="s">
        <v>47</v>
      </c>
      <c r="D16" s="22" t="s">
        <v>72</v>
      </c>
      <c r="E16" s="24" t="n">
        <v>0.507638888888889</v>
      </c>
      <c r="F16" s="24" t="n">
        <v>0.528472222222222</v>
      </c>
      <c r="G16" s="25" t="n">
        <f aca="false">ROUND((F16-E16)*1440,0)</f>
        <v>30</v>
      </c>
    </row>
    <row r="17" customFormat="false" ht="15" hidden="false" customHeight="false" outlineLevel="0" collapsed="false">
      <c r="A17" s="22" t="n">
        <v>4</v>
      </c>
      <c r="B17" s="33" t="s">
        <v>64</v>
      </c>
      <c r="C17" s="22" t="s">
        <v>47</v>
      </c>
      <c r="D17" s="22" t="s">
        <v>73</v>
      </c>
      <c r="E17" s="24" t="n">
        <v>0.530555555555556</v>
      </c>
      <c r="F17" s="24" t="n">
        <v>0.551388888888889</v>
      </c>
      <c r="G17" s="25" t="n">
        <f aca="false">ROUND((F17-E17)*1440,0)</f>
        <v>30</v>
      </c>
    </row>
    <row r="18" customFormat="false" ht="15" hidden="false" customHeight="false" outlineLevel="0" collapsed="false">
      <c r="A18" s="26" t="n">
        <v>5</v>
      </c>
      <c r="B18" s="34" t="s">
        <v>65</v>
      </c>
      <c r="C18" s="26" t="s">
        <v>49</v>
      </c>
      <c r="D18" s="26" t="s">
        <v>70</v>
      </c>
      <c r="E18" s="28" t="n">
        <v>0.458333333333333</v>
      </c>
      <c r="F18" s="28" t="n">
        <v>0.479166666666667</v>
      </c>
      <c r="G18" s="29" t="n">
        <f aca="false">ROUND((F18-E18)*1440,0)</f>
        <v>30</v>
      </c>
    </row>
    <row r="19" customFormat="false" ht="15" hidden="false" customHeight="false" outlineLevel="0" collapsed="false">
      <c r="A19" s="26" t="n">
        <v>5</v>
      </c>
      <c r="B19" s="34" t="s">
        <v>65</v>
      </c>
      <c r="C19" s="26" t="s">
        <v>49</v>
      </c>
      <c r="D19" s="26" t="s">
        <v>71</v>
      </c>
      <c r="E19" s="28" t="n">
        <v>0.481944444444445</v>
      </c>
      <c r="F19" s="28" t="n">
        <v>0.502777777777778</v>
      </c>
      <c r="G19" s="29" t="n">
        <f aca="false">ROUND((F19-E19)*1440,0)</f>
        <v>30</v>
      </c>
    </row>
    <row r="20" customFormat="false" ht="15" hidden="false" customHeight="false" outlineLevel="0" collapsed="false">
      <c r="A20" s="26" t="n">
        <v>5</v>
      </c>
      <c r="B20" s="34" t="s">
        <v>65</v>
      </c>
      <c r="C20" s="26" t="s">
        <v>49</v>
      </c>
      <c r="D20" s="26" t="s">
        <v>72</v>
      </c>
      <c r="E20" s="28" t="n">
        <v>0.505555555555556</v>
      </c>
      <c r="F20" s="28" t="n">
        <v>0.526388888888889</v>
      </c>
      <c r="G20" s="29" t="n">
        <f aca="false">ROUND((F20-E20)*1440,0)</f>
        <v>30</v>
      </c>
    </row>
    <row r="21" customFormat="false" ht="15" hidden="false" customHeight="false" outlineLevel="0" collapsed="false">
      <c r="A21" s="26" t="n">
        <v>5</v>
      </c>
      <c r="B21" s="34" t="s">
        <v>65</v>
      </c>
      <c r="C21" s="26" t="s">
        <v>49</v>
      </c>
      <c r="D21" s="26" t="s">
        <v>73</v>
      </c>
      <c r="E21" s="28" t="n">
        <v>0.528472222222222</v>
      </c>
      <c r="F21" s="28" t="n">
        <v>0.549305555555556</v>
      </c>
      <c r="G21" s="29" t="n">
        <f aca="false">ROUND((F21-E21)*1440,0)</f>
        <v>30</v>
      </c>
    </row>
    <row r="23" customFormat="false" ht="15" hidden="false" customHeight="false" outlineLevel="0" collapsed="false">
      <c r="A23" s="2" t="s">
        <v>74</v>
      </c>
    </row>
  </sheetData>
  <autoFilter ref="A1:G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10" min="6" style="0" width="7"/>
  </cols>
  <sheetData>
    <row r="1" customFormat="false" ht="33.75" hidden="false" customHeight="true" outlineLevel="0" collapsed="false">
      <c r="A1" s="9" t="s">
        <v>32</v>
      </c>
      <c r="B1" s="9" t="s">
        <v>75</v>
      </c>
      <c r="C1" s="9" t="s">
        <v>76</v>
      </c>
      <c r="D1" s="9" t="s">
        <v>77</v>
      </c>
      <c r="E1" s="9" t="s">
        <v>78</v>
      </c>
      <c r="F1" s="9" t="s">
        <v>79</v>
      </c>
      <c r="G1" s="9" t="s">
        <v>80</v>
      </c>
      <c r="H1" s="9" t="s">
        <v>81</v>
      </c>
      <c r="I1" s="9" t="s">
        <v>82</v>
      </c>
      <c r="J1" s="9" t="s">
        <v>83</v>
      </c>
    </row>
    <row r="2" customFormat="false" ht="15" hidden="false" customHeight="false" outlineLevel="0" collapsed="false">
      <c r="A2" s="35" t="s">
        <v>43</v>
      </c>
      <c r="B2" s="36" t="n">
        <f aca="false">COUNTIF('Bell Schedule'!$D$2:$D$27,$A2)</f>
        <v>4</v>
      </c>
      <c r="C2" s="36" t="n">
        <f aca="false">SUMIF('Bell Schedule'!$D$2:$D$27,$A2,'Bell Schedule'!$H$2:$H$27)</f>
        <v>240</v>
      </c>
      <c r="D2" s="36" t="n">
        <f aca="false">SUMIF('Bell Schedule'!$D$2:$D$27,$A2,'Bell Schedule'!$I$2:$I$27)</f>
        <v>0</v>
      </c>
      <c r="E2" s="36" t="n">
        <f aca="false">C2+D2</f>
        <v>240</v>
      </c>
      <c r="F2" s="37" t="n">
        <f aca="false">IF(COUNTIFS('Bell Schedule'!$B$2:$B$27,"Monday",'Bell Schedule'!$D$2:$D$27,$A2)=0,"",SUMIFS('Bell Schedule'!$C$2:$C$27,'Bell Schedule'!$B$2:$B$27,"Monday",'Bell Schedule'!$D$2:$D$27,$A2))</f>
        <v>1</v>
      </c>
      <c r="G2" s="37" t="n">
        <f aca="false">IF(COUNTIFS('Bell Schedule'!$B$2:$B$27,"Tuesday",'Bell Schedule'!$D$2:$D$27,$A2)=0,"",SUMIFS('Bell Schedule'!$C$2:$C$27,'Bell Schedule'!$B$2:$B$27,"Tuesday",'Bell Schedule'!$D$2:$D$27,$A2))</f>
        <v>2</v>
      </c>
      <c r="H2" s="37" t="n">
        <f aca="false">IF(COUNTIFS('Bell Schedule'!$B$2:$B$27,"Wednesday",'Bell Schedule'!$D$2:$D$27,$A2)=0,"",SUMIFS('Bell Schedule'!$C$2:$C$27,'Bell Schedule'!$B$2:$B$27,"Wednesday",'Bell Schedule'!$D$2:$D$27,$A2))</f>
        <v>1</v>
      </c>
      <c r="I2" s="37" t="n">
        <f aca="false">IF(COUNTIFS('Bell Schedule'!$B$2:$B$27,"Thursday",'Bell Schedule'!$D$2:$D$27,$A2)=0,"",SUMIFS('Bell Schedule'!$C$2:$C$27,'Bell Schedule'!$B$2:$B$27,"Thursday",'Bell Schedule'!$D$2:$D$27,$A2))</f>
        <v>2</v>
      </c>
      <c r="J2" s="37" t="str">
        <f aca="false">IF(COUNTIFS('Bell Schedule'!$B$2:$B$27,"Friday",'Bell Schedule'!$D$2:$D$27,$A2)=0,"",SUMIFS('Bell Schedule'!$C$2:$C$27,'Bell Schedule'!$B$2:$B$27,"Friday",'Bell Schedule'!$D$2:$D$27,$A2))</f>
        <v/>
      </c>
    </row>
    <row r="3" customFormat="false" ht="15" hidden="false" customHeight="false" outlineLevel="0" collapsed="false">
      <c r="A3" s="35" t="s">
        <v>45</v>
      </c>
      <c r="B3" s="36" t="n">
        <f aca="false">COUNTIF('Bell Schedule'!$D$2:$D$27,$A3)</f>
        <v>4</v>
      </c>
      <c r="C3" s="36" t="n">
        <f aca="false">SUMIF('Bell Schedule'!$D$2:$D$27,$A3,'Bell Schedule'!$H$2:$H$27)</f>
        <v>240</v>
      </c>
      <c r="D3" s="36" t="n">
        <f aca="false">SUMIF('Bell Schedule'!$D$2:$D$27,$A3,'Bell Schedule'!$I$2:$I$27)</f>
        <v>0</v>
      </c>
      <c r="E3" s="36" t="n">
        <f aca="false">C3+D3</f>
        <v>240</v>
      </c>
      <c r="F3" s="37" t="n">
        <f aca="false">IF(COUNTIFS('Bell Schedule'!$B$2:$B$27,"Monday",'Bell Schedule'!$D$2:$D$27,$A3)=0,"",SUMIFS('Bell Schedule'!$C$2:$C$27,'Bell Schedule'!$B$2:$B$27,"Monday",'Bell Schedule'!$D$2:$D$27,$A3))</f>
        <v>2</v>
      </c>
      <c r="G3" s="37" t="n">
        <f aca="false">IF(COUNTIFS('Bell Schedule'!$B$2:$B$27,"Tuesday",'Bell Schedule'!$D$2:$D$27,$A3)=0,"",SUMIFS('Bell Schedule'!$C$2:$C$27,'Bell Schedule'!$B$2:$B$27,"Tuesday",'Bell Schedule'!$D$2:$D$27,$A3))</f>
        <v>3</v>
      </c>
      <c r="H3" s="37" t="str">
        <f aca="false">IF(COUNTIFS('Bell Schedule'!$B$2:$B$27,"Wednesday",'Bell Schedule'!$D$2:$D$27,$A3)=0,"",SUMIFS('Bell Schedule'!$C$2:$C$27,'Bell Schedule'!$B$2:$B$27,"Wednesday",'Bell Schedule'!$D$2:$D$27,$A3))</f>
        <v/>
      </c>
      <c r="I3" s="37" t="n">
        <f aca="false">IF(COUNTIFS('Bell Schedule'!$B$2:$B$27,"Thursday",'Bell Schedule'!$D$2:$D$27,$A3)=0,"",SUMIFS('Bell Schedule'!$C$2:$C$27,'Bell Schedule'!$B$2:$B$27,"Thursday",'Bell Schedule'!$D$2:$D$27,$A3))</f>
        <v>3</v>
      </c>
      <c r="J3" s="37" t="n">
        <f aca="false">IF(COUNTIFS('Bell Schedule'!$B$2:$B$27,"Friday",'Bell Schedule'!$D$2:$D$27,$A3)=0,"",SUMIFS('Bell Schedule'!$C$2:$C$27,'Bell Schedule'!$B$2:$B$27,"Friday",'Bell Schedule'!$D$2:$D$27,$A3))</f>
        <v>2</v>
      </c>
    </row>
    <row r="4" customFormat="false" ht="15" hidden="false" customHeight="false" outlineLevel="0" collapsed="false">
      <c r="A4" s="35" t="s">
        <v>47</v>
      </c>
      <c r="B4" s="36" t="n">
        <f aca="false">COUNTIF('Bell Schedule'!$D$2:$D$27,$A4)</f>
        <v>3</v>
      </c>
      <c r="C4" s="36" t="n">
        <f aca="false">SUMIF('Bell Schedule'!$D$2:$D$27,$A4,'Bell Schedule'!$H$2:$H$27)</f>
        <v>240</v>
      </c>
      <c r="D4" s="36" t="n">
        <f aca="false">SUMIF('Bell Schedule'!$D$2:$D$27,$A4,'Bell Schedule'!$I$2:$I$27)</f>
        <v>60</v>
      </c>
      <c r="E4" s="36" t="n">
        <f aca="false">C4+D4</f>
        <v>300</v>
      </c>
      <c r="F4" s="37" t="n">
        <f aca="false">IF(COUNTIFS('Bell Schedule'!$B$2:$B$27,"Monday",'Bell Schedule'!$D$2:$D$27,$A4)=0,"",SUMIFS('Bell Schedule'!$C$2:$C$27,'Bell Schedule'!$B$2:$B$27,"Monday",'Bell Schedule'!$D$2:$D$27,$A4))</f>
        <v>3</v>
      </c>
      <c r="G4" s="37" t="n">
        <f aca="false">IF(COUNTIFS('Bell Schedule'!$B$2:$B$27,"Tuesday",'Bell Schedule'!$D$2:$D$27,$A4)=0,"",SUMIFS('Bell Schedule'!$C$2:$C$27,'Bell Schedule'!$B$2:$B$27,"Tuesday",'Bell Schedule'!$D$2:$D$27,$A4))</f>
        <v>4</v>
      </c>
      <c r="H4" s="37" t="str">
        <f aca="false">IF(COUNTIFS('Bell Schedule'!$B$2:$B$27,"Wednesday",'Bell Schedule'!$D$2:$D$27,$A4)=0,"",SUMIFS('Bell Schedule'!$C$2:$C$27,'Bell Schedule'!$B$2:$B$27,"Wednesday",'Bell Schedule'!$D$2:$D$27,$A4))</f>
        <v/>
      </c>
      <c r="I4" s="37" t="n">
        <f aca="false">IF(COUNTIFS('Bell Schedule'!$B$2:$B$27,"Thursday",'Bell Schedule'!$D$2:$D$27,$A4)=0,"",SUMIFS('Bell Schedule'!$C$2:$C$27,'Bell Schedule'!$B$2:$B$27,"Thursday",'Bell Schedule'!$D$2:$D$27,$A4))</f>
        <v>4</v>
      </c>
      <c r="J4" s="37" t="str">
        <f aca="false">IF(COUNTIFS('Bell Schedule'!$B$2:$B$27,"Friday",'Bell Schedule'!$D$2:$D$27,$A4)=0,"",SUMIFS('Bell Schedule'!$C$2:$C$27,'Bell Schedule'!$B$2:$B$27,"Friday",'Bell Schedule'!$D$2:$D$27,$A4))</f>
        <v/>
      </c>
    </row>
    <row r="5" customFormat="false" ht="15" hidden="false" customHeight="false" outlineLevel="0" collapsed="false">
      <c r="A5" s="35" t="s">
        <v>49</v>
      </c>
      <c r="B5" s="36" t="n">
        <f aca="false">COUNTIF('Bell Schedule'!$D$2:$D$27,$A5)</f>
        <v>3</v>
      </c>
      <c r="C5" s="36" t="n">
        <f aca="false">SUMIF('Bell Schedule'!$D$2:$D$27,$A5,'Bell Schedule'!$H$2:$H$27)</f>
        <v>240</v>
      </c>
      <c r="D5" s="36" t="n">
        <f aca="false">SUMIF('Bell Schedule'!$D$2:$D$27,$A5,'Bell Schedule'!$I$2:$I$27)</f>
        <v>60</v>
      </c>
      <c r="E5" s="36" t="n">
        <f aca="false">C5+D5</f>
        <v>300</v>
      </c>
      <c r="F5" s="37" t="n">
        <f aca="false">IF(COUNTIFS('Bell Schedule'!$B$2:$B$27,"Monday",'Bell Schedule'!$D$2:$D$27,$A5)=0,"",SUMIFS('Bell Schedule'!$C$2:$C$27,'Bell Schedule'!$B$2:$B$27,"Monday",'Bell Schedule'!$D$2:$D$27,$A5))</f>
        <v>4</v>
      </c>
      <c r="G5" s="37" t="str">
        <f aca="false">IF(COUNTIFS('Bell Schedule'!$B$2:$B$27,"Tuesday",'Bell Schedule'!$D$2:$D$27,$A5)=0,"",SUMIFS('Bell Schedule'!$C$2:$C$27,'Bell Schedule'!$B$2:$B$27,"Tuesday",'Bell Schedule'!$D$2:$D$27,$A5))</f>
        <v/>
      </c>
      <c r="H5" s="37" t="n">
        <f aca="false">IF(COUNTIFS('Bell Schedule'!$B$2:$B$27,"Wednesday",'Bell Schedule'!$D$2:$D$27,$A5)=0,"",SUMIFS('Bell Schedule'!$C$2:$C$27,'Bell Schedule'!$B$2:$B$27,"Wednesday",'Bell Schedule'!$D$2:$D$27,$A5))</f>
        <v>6</v>
      </c>
      <c r="I5" s="37" t="str">
        <f aca="false">IF(COUNTIFS('Bell Schedule'!$B$2:$B$27,"Thursday",'Bell Schedule'!$D$2:$D$27,$A5)=0,"",SUMIFS('Bell Schedule'!$C$2:$C$27,'Bell Schedule'!$B$2:$B$27,"Thursday",'Bell Schedule'!$D$2:$D$27,$A5))</f>
        <v/>
      </c>
      <c r="J5" s="37" t="n">
        <f aca="false">IF(COUNTIFS('Bell Schedule'!$B$2:$B$27,"Friday",'Bell Schedule'!$D$2:$D$27,$A5)=0,"",SUMIFS('Bell Schedule'!$C$2:$C$27,'Bell Schedule'!$B$2:$B$27,"Friday",'Bell Schedule'!$D$2:$D$27,$A5))</f>
        <v>4</v>
      </c>
    </row>
    <row r="6" customFormat="false" ht="15" hidden="false" customHeight="false" outlineLevel="0" collapsed="false">
      <c r="A6" s="35" t="s">
        <v>52</v>
      </c>
      <c r="B6" s="36" t="n">
        <f aca="false">COUNTIF('Bell Schedule'!$D$2:$D$27,$A6)</f>
        <v>3</v>
      </c>
      <c r="C6" s="36" t="n">
        <f aca="false">SUMIF('Bell Schedule'!$D$2:$D$27,$A6,'Bell Schedule'!$H$2:$H$27)</f>
        <v>240</v>
      </c>
      <c r="D6" s="36" t="n">
        <f aca="false">SUMIF('Bell Schedule'!$D$2:$D$27,$A6,'Bell Schedule'!$I$2:$I$27)</f>
        <v>30</v>
      </c>
      <c r="E6" s="36" t="n">
        <f aca="false">C6+D6</f>
        <v>270</v>
      </c>
      <c r="F6" s="37" t="n">
        <f aca="false">IF(COUNTIFS('Bell Schedule'!$B$2:$B$27,"Monday",'Bell Schedule'!$D$2:$D$27,$A6)=0,"",SUMIFS('Bell Schedule'!$C$2:$C$27,'Bell Schedule'!$B$2:$B$27,"Monday",'Bell Schedule'!$D$2:$D$27,$A6))</f>
        <v>5</v>
      </c>
      <c r="G6" s="37" t="str">
        <f aca="false">IF(COUNTIFS('Bell Schedule'!$B$2:$B$27,"Tuesday",'Bell Schedule'!$D$2:$D$27,$A6)=0,"",SUMIFS('Bell Schedule'!$C$2:$C$27,'Bell Schedule'!$B$2:$B$27,"Tuesday",'Bell Schedule'!$D$2:$D$27,$A6))</f>
        <v/>
      </c>
      <c r="H6" s="37" t="n">
        <f aca="false">IF(COUNTIFS('Bell Schedule'!$B$2:$B$27,"Wednesday",'Bell Schedule'!$D$2:$D$27,$A6)=0,"",SUMIFS('Bell Schedule'!$C$2:$C$27,'Bell Schedule'!$B$2:$B$27,"Wednesday",'Bell Schedule'!$D$2:$D$27,$A6))</f>
        <v>5</v>
      </c>
      <c r="I6" s="37" t="str">
        <f aca="false">IF(COUNTIFS('Bell Schedule'!$B$2:$B$27,"Thursday",'Bell Schedule'!$D$2:$D$27,$A6)=0,"",SUMIFS('Bell Schedule'!$C$2:$C$27,'Bell Schedule'!$B$2:$B$27,"Thursday",'Bell Schedule'!$D$2:$D$27,$A6))</f>
        <v/>
      </c>
      <c r="J6" s="37" t="n">
        <f aca="false">IF(COUNTIFS('Bell Schedule'!$B$2:$B$27,"Friday",'Bell Schedule'!$D$2:$D$27,$A6)=0,"",SUMIFS('Bell Schedule'!$C$2:$C$27,'Bell Schedule'!$B$2:$B$27,"Friday",'Bell Schedule'!$D$2:$D$27,$A6))</f>
        <v>5</v>
      </c>
    </row>
    <row r="7" customFormat="false" ht="15" hidden="false" customHeight="false" outlineLevel="0" collapsed="false">
      <c r="A7" s="35" t="s">
        <v>55</v>
      </c>
      <c r="B7" s="36" t="n">
        <f aca="false">COUNTIF('Bell Schedule'!$D$2:$D$27,$A7)</f>
        <v>4</v>
      </c>
      <c r="C7" s="36" t="n">
        <f aca="false">SUMIF('Bell Schedule'!$D$2:$D$27,$A7,'Bell Schedule'!$H$2:$H$27)</f>
        <v>240</v>
      </c>
      <c r="D7" s="36" t="n">
        <f aca="false">SUMIF('Bell Schedule'!$D$2:$D$27,$A7,'Bell Schedule'!$I$2:$I$27)</f>
        <v>0</v>
      </c>
      <c r="E7" s="36" t="n">
        <f aca="false">C7+D7</f>
        <v>240</v>
      </c>
      <c r="F7" s="37" t="str">
        <f aca="false">IF(COUNTIFS('Bell Schedule'!$B$2:$B$27,"Monday",'Bell Schedule'!$D$2:$D$27,$A7)=0,"",SUMIFS('Bell Schedule'!$C$2:$C$27,'Bell Schedule'!$B$2:$B$27,"Monday",'Bell Schedule'!$D$2:$D$27,$A7))</f>
        <v/>
      </c>
      <c r="G7" s="37" t="n">
        <f aca="false">IF(COUNTIFS('Bell Schedule'!$B$2:$B$27,"Tuesday",'Bell Schedule'!$D$2:$D$27,$A7)=0,"",SUMIFS('Bell Schedule'!$C$2:$C$27,'Bell Schedule'!$B$2:$B$27,"Tuesday",'Bell Schedule'!$D$2:$D$27,$A7))</f>
        <v>1</v>
      </c>
      <c r="H7" s="37" t="n">
        <f aca="false">IF(COUNTIFS('Bell Schedule'!$B$2:$B$27,"Wednesday",'Bell Schedule'!$D$2:$D$27,$A7)=0,"",SUMIFS('Bell Schedule'!$C$2:$C$27,'Bell Schedule'!$B$2:$B$27,"Wednesday",'Bell Schedule'!$D$2:$D$27,$A7))</f>
        <v>2</v>
      </c>
      <c r="I7" s="37" t="n">
        <f aca="false">IF(COUNTIFS('Bell Schedule'!$B$2:$B$27,"Thursday",'Bell Schedule'!$D$2:$D$27,$A7)=0,"",SUMIFS('Bell Schedule'!$C$2:$C$27,'Bell Schedule'!$B$2:$B$27,"Thursday",'Bell Schedule'!$D$2:$D$27,$A7))</f>
        <v>1</v>
      </c>
      <c r="J7" s="37" t="n">
        <f aca="false">IF(COUNTIFS('Bell Schedule'!$B$2:$B$27,"Friday",'Bell Schedule'!$D$2:$D$27,$A7)=0,"",SUMIFS('Bell Schedule'!$C$2:$C$27,'Bell Schedule'!$B$2:$B$27,"Friday",'Bell Schedule'!$D$2:$D$27,$A7))</f>
        <v>1</v>
      </c>
    </row>
    <row r="8" customFormat="false" ht="15" hidden="false" customHeight="false" outlineLevel="0" collapsed="false">
      <c r="A8" s="35" t="s">
        <v>56</v>
      </c>
      <c r="B8" s="36" t="n">
        <f aca="false">COUNTIF('Bell Schedule'!$D$2:$D$27,$A8)</f>
        <v>4</v>
      </c>
      <c r="C8" s="36" t="n">
        <f aca="false">SUMIF('Bell Schedule'!$D$2:$D$27,$A8,'Bell Schedule'!$H$2:$H$27)</f>
        <v>240</v>
      </c>
      <c r="D8" s="36" t="n">
        <f aca="false">SUMIF('Bell Schedule'!$D$2:$D$27,$A8,'Bell Schedule'!$I$2:$I$27)</f>
        <v>0</v>
      </c>
      <c r="E8" s="36" t="n">
        <f aca="false">C8+D8</f>
        <v>240</v>
      </c>
      <c r="F8" s="37" t="str">
        <f aca="false">IF(COUNTIFS('Bell Schedule'!$B$2:$B$27,"Monday",'Bell Schedule'!$D$2:$D$27,$A8)=0,"",SUMIFS('Bell Schedule'!$C$2:$C$27,'Bell Schedule'!$B$2:$B$27,"Monday",'Bell Schedule'!$D$2:$D$27,$A8))</f>
        <v/>
      </c>
      <c r="G8" s="37" t="n">
        <f aca="false">IF(COUNTIFS('Bell Schedule'!$B$2:$B$27,"Tuesday",'Bell Schedule'!$D$2:$D$27,$A8)=0,"",SUMIFS('Bell Schedule'!$C$2:$C$27,'Bell Schedule'!$B$2:$B$27,"Tuesday",'Bell Schedule'!$D$2:$D$27,$A8))</f>
        <v>5</v>
      </c>
      <c r="H8" s="37" t="n">
        <f aca="false">IF(COUNTIFS('Bell Schedule'!$B$2:$B$27,"Wednesday",'Bell Schedule'!$D$2:$D$27,$A8)=0,"",SUMIFS('Bell Schedule'!$C$2:$C$27,'Bell Schedule'!$B$2:$B$27,"Wednesday",'Bell Schedule'!$D$2:$D$27,$A8))</f>
        <v>4</v>
      </c>
      <c r="I8" s="37" t="n">
        <f aca="false">IF(COUNTIFS('Bell Schedule'!$B$2:$B$27,"Thursday",'Bell Schedule'!$D$2:$D$27,$A8)=0,"",SUMIFS('Bell Schedule'!$C$2:$C$27,'Bell Schedule'!$B$2:$B$27,"Thursday",'Bell Schedule'!$D$2:$D$27,$A8))</f>
        <v>5</v>
      </c>
      <c r="J8" s="37" t="n">
        <f aca="false">IF(COUNTIFS('Bell Schedule'!$B$2:$B$27,"Friday",'Bell Schedule'!$D$2:$D$27,$A8)=0,"",SUMIFS('Bell Schedule'!$C$2:$C$27,'Bell Schedule'!$B$2:$B$27,"Friday",'Bell Schedule'!$D$2:$D$27,$A8))</f>
        <v>3</v>
      </c>
    </row>
    <row r="9" customFormat="false" ht="15" hidden="false" customHeight="false" outlineLevel="0" collapsed="false">
      <c r="A9" s="35" t="s">
        <v>60</v>
      </c>
      <c r="B9" s="36" t="n">
        <f aca="false">COUNTIF('Bell Schedule'!$D$2:$D$27,$A9)</f>
        <v>1</v>
      </c>
      <c r="C9" s="36" t="n">
        <f aca="false">SUMIF('Bell Schedule'!$D$2:$D$27,$A9,'Bell Schedule'!$H$2:$H$27)</f>
        <v>45</v>
      </c>
      <c r="D9" s="36" t="n">
        <f aca="false">SUMIF('Bell Schedule'!$D$2:$D$27,$A9,'Bell Schedule'!$I$2:$I$27)</f>
        <v>0</v>
      </c>
      <c r="E9" s="36" t="n">
        <f aca="false">C9+D9</f>
        <v>45</v>
      </c>
      <c r="F9" s="37" t="str">
        <f aca="false">IF(COUNTIFS('Bell Schedule'!$B$2:$B$27,"Monday",'Bell Schedule'!$D$2:$D$27,$A9)=0,"",SUMIFS('Bell Schedule'!$C$2:$C$27,'Bell Schedule'!$B$2:$B$27,"Monday",'Bell Schedule'!$D$2:$D$27,$A9))</f>
        <v/>
      </c>
      <c r="G9" s="37" t="str">
        <f aca="false">IF(COUNTIFS('Bell Schedule'!$B$2:$B$27,"Tuesday",'Bell Schedule'!$D$2:$D$27,$A9)=0,"",SUMIFS('Bell Schedule'!$C$2:$C$27,'Bell Schedule'!$B$2:$B$27,"Tuesday",'Bell Schedule'!$D$2:$D$27,$A9))</f>
        <v/>
      </c>
      <c r="H9" s="37" t="n">
        <f aca="false">IF(COUNTIFS('Bell Schedule'!$B$2:$B$27,"Wednesday",'Bell Schedule'!$D$2:$D$27,$A9)=0,"",SUMIFS('Bell Schedule'!$C$2:$C$27,'Bell Schedule'!$B$2:$B$27,"Wednesday",'Bell Schedule'!$D$2:$D$27,$A9))</f>
        <v>3</v>
      </c>
      <c r="I9" s="37" t="str">
        <f aca="false">IF(COUNTIFS('Bell Schedule'!$B$2:$B$27,"Thursday",'Bell Schedule'!$D$2:$D$27,$A9)=0,"",SUMIFS('Bell Schedule'!$C$2:$C$27,'Bell Schedule'!$B$2:$B$27,"Thursday",'Bell Schedule'!$D$2:$D$27,$A9))</f>
        <v/>
      </c>
      <c r="J9" s="37" t="str">
        <f aca="false">IF(COUNTIFS('Bell Schedule'!$B$2:$B$27,"Friday",'Bell Schedule'!$D$2:$D$27,$A9)=0,"",SUMIFS('Bell Schedule'!$C$2:$C$27,'Bell Schedule'!$B$2:$B$27,"Friday",'Bell Schedule'!$D$2:$D$27,$A9))</f>
        <v/>
      </c>
    </row>
    <row r="10" customFormat="false" ht="15" hidden="false" customHeight="false" outlineLevel="0" collapsed="false">
      <c r="A10" s="38" t="s">
        <v>84</v>
      </c>
      <c r="B10" s="38" t="n">
        <f aca="false">SUM(B2:B9)</f>
        <v>26</v>
      </c>
      <c r="C10" s="38" t="n">
        <f aca="false">SUM(C2:C9)</f>
        <v>1725</v>
      </c>
      <c r="D10" s="38" t="n">
        <f aca="false">SUM(D2:D9)</f>
        <v>150</v>
      </c>
      <c r="E10" s="38" t="n">
        <f aca="false">SUM(E2:E9)</f>
        <v>1875</v>
      </c>
      <c r="F10" s="38"/>
      <c r="G10" s="38"/>
      <c r="H10" s="38"/>
      <c r="I10" s="38"/>
      <c r="J10" s="38"/>
    </row>
    <row r="12" customFormat="false" ht="15" hidden="false" customHeight="false" outlineLevel="0" collapsed="false">
      <c r="A12" s="2" t="s">
        <v>85</v>
      </c>
    </row>
    <row r="13" customFormat="false" ht="15" hidden="false" customHeight="false" outlineLevel="0" collapsed="false">
      <c r="A13"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30"/>
    <col collapsed="false" customWidth="true" hidden="false" outlineLevel="0" max="5" min="4" style="0" width="34"/>
    <col collapsed="false" customWidth="true" hidden="false" outlineLevel="0" max="6" min="6" style="0" width="14"/>
  </cols>
  <sheetData>
    <row r="1" customFormat="false" ht="33.75" hidden="false" customHeight="true" outlineLevel="0" collapsed="false">
      <c r="A1" s="9" t="s">
        <v>87</v>
      </c>
      <c r="B1" s="9" t="s">
        <v>88</v>
      </c>
      <c r="C1" s="9" t="s">
        <v>89</v>
      </c>
      <c r="D1" s="9" t="s">
        <v>90</v>
      </c>
      <c r="E1" s="9" t="s">
        <v>91</v>
      </c>
      <c r="F1" s="9" t="s">
        <v>92</v>
      </c>
    </row>
    <row r="2" customFormat="false" ht="15" hidden="false" customHeight="false" outlineLevel="0" collapsed="false">
      <c r="A2" s="39" t="n">
        <v>46266</v>
      </c>
      <c r="B2" s="40" t="str">
        <f aca="false">TEXT(A2,"dddd")</f>
        <v>Tuesday</v>
      </c>
      <c r="C2" s="41" t="s">
        <v>93</v>
      </c>
      <c r="D2" s="41" t="s">
        <v>94</v>
      </c>
      <c r="E2" s="42"/>
      <c r="F2" s="40" t="s">
        <v>95</v>
      </c>
    </row>
    <row r="3" customFormat="false" ht="15" hidden="false" customHeight="false" outlineLevel="0" collapsed="false">
      <c r="A3" s="43" t="n">
        <v>46267</v>
      </c>
      <c r="B3" s="14" t="str">
        <f aca="false">TEXT(A3,"dddd")</f>
        <v>Wednesday</v>
      </c>
      <c r="C3" s="31" t="s">
        <v>96</v>
      </c>
      <c r="D3" s="31" t="s">
        <v>97</v>
      </c>
      <c r="E3" s="44"/>
      <c r="F3" s="14" t="s">
        <v>98</v>
      </c>
    </row>
    <row r="4" customFormat="false" ht="15" hidden="false" customHeight="false" outlineLevel="0" collapsed="false">
      <c r="A4" s="45" t="n">
        <v>46269</v>
      </c>
      <c r="B4" s="26" t="str">
        <f aca="false">TEXT(A4,"dddd")</f>
        <v>Friday</v>
      </c>
      <c r="C4" s="34" t="s">
        <v>99</v>
      </c>
      <c r="D4" s="34" t="s">
        <v>100</v>
      </c>
      <c r="E4" s="46"/>
      <c r="F4" s="26" t="s">
        <v>101</v>
      </c>
    </row>
    <row r="5" customFormat="false" ht="15" hidden="false" customHeight="false" outlineLevel="0" collapsed="false">
      <c r="A5" s="45" t="n">
        <v>46272</v>
      </c>
      <c r="B5" s="26" t="str">
        <f aca="false">TEXT(A5,"dddd")</f>
        <v>Monday</v>
      </c>
      <c r="C5" s="34" t="s">
        <v>99</v>
      </c>
      <c r="D5" s="34" t="s">
        <v>100</v>
      </c>
      <c r="E5" s="46" t="s">
        <v>102</v>
      </c>
      <c r="F5" s="26" t="s">
        <v>101</v>
      </c>
    </row>
    <row r="6" customFormat="false" ht="15" hidden="false" customHeight="false" outlineLevel="0" collapsed="false">
      <c r="A6" s="47" t="n">
        <v>46273</v>
      </c>
      <c r="B6" s="10" t="str">
        <f aca="false">TEXT(A6,"dddd")</f>
        <v>Tuesday</v>
      </c>
      <c r="C6" s="30" t="s">
        <v>103</v>
      </c>
      <c r="D6" s="30" t="s">
        <v>97</v>
      </c>
      <c r="E6" s="48"/>
      <c r="F6" s="10" t="s">
        <v>104</v>
      </c>
    </row>
    <row r="7" customFormat="false" ht="15" hidden="false" customHeight="false" outlineLevel="0" collapsed="false">
      <c r="A7" s="49" t="n">
        <v>46295</v>
      </c>
      <c r="B7" s="50" t="str">
        <f aca="false">TEXT(A7,"dddd")</f>
        <v>Wednesday</v>
      </c>
      <c r="C7" s="51" t="s">
        <v>105</v>
      </c>
      <c r="D7" s="51" t="s">
        <v>106</v>
      </c>
      <c r="E7" s="52"/>
      <c r="F7" s="50" t="s">
        <v>107</v>
      </c>
    </row>
    <row r="8" customFormat="false" ht="15" hidden="false" customHeight="false" outlineLevel="0" collapsed="false">
      <c r="A8" s="45" t="n">
        <v>46307</v>
      </c>
      <c r="B8" s="26" t="str">
        <f aca="false">TEXT(A8,"dddd")</f>
        <v>Monday</v>
      </c>
      <c r="C8" s="34" t="s">
        <v>99</v>
      </c>
      <c r="D8" s="34" t="s">
        <v>100</v>
      </c>
      <c r="E8" s="46" t="s">
        <v>108</v>
      </c>
      <c r="F8" s="26" t="s">
        <v>101</v>
      </c>
    </row>
    <row r="9" customFormat="false" ht="15" hidden="false" customHeight="false" outlineLevel="0" collapsed="false">
      <c r="A9" s="49" t="n">
        <v>46316</v>
      </c>
      <c r="B9" s="50" t="str">
        <f aca="false">TEXT(A9,"dddd")</f>
        <v>Wednesday</v>
      </c>
      <c r="C9" s="51" t="s">
        <v>105</v>
      </c>
      <c r="D9" s="51" t="s">
        <v>106</v>
      </c>
      <c r="E9" s="52"/>
      <c r="F9" s="50" t="s">
        <v>107</v>
      </c>
    </row>
    <row r="10" customFormat="false" ht="15" hidden="false" customHeight="false" outlineLevel="0" collapsed="false">
      <c r="A10" s="39" t="n">
        <v>46329</v>
      </c>
      <c r="B10" s="40" t="str">
        <f aca="false">TEXT(A10,"dddd")</f>
        <v>Tuesday</v>
      </c>
      <c r="C10" s="41" t="s">
        <v>93</v>
      </c>
      <c r="D10" s="41" t="s">
        <v>94</v>
      </c>
      <c r="E10" s="42" t="s">
        <v>109</v>
      </c>
      <c r="F10" s="40" t="s">
        <v>95</v>
      </c>
    </row>
    <row r="11" customFormat="false" ht="15" hidden="false" customHeight="false" outlineLevel="0" collapsed="false">
      <c r="A11" s="45" t="n">
        <v>46337</v>
      </c>
      <c r="B11" s="26" t="str">
        <f aca="false">TEXT(A11,"dddd")</f>
        <v>Wednesday</v>
      </c>
      <c r="C11" s="34" t="s">
        <v>99</v>
      </c>
      <c r="D11" s="34" t="s">
        <v>100</v>
      </c>
      <c r="E11" s="46" t="s">
        <v>110</v>
      </c>
      <c r="F11" s="26" t="s">
        <v>101</v>
      </c>
    </row>
    <row r="12" customFormat="false" ht="15" hidden="false" customHeight="false" outlineLevel="0" collapsed="false">
      <c r="A12" s="49" t="n">
        <v>46344</v>
      </c>
      <c r="B12" s="50" t="str">
        <f aca="false">TEXT(A12,"dddd")</f>
        <v>Wednesday</v>
      </c>
      <c r="C12" s="51" t="s">
        <v>105</v>
      </c>
      <c r="D12" s="51" t="s">
        <v>106</v>
      </c>
      <c r="E12" s="52"/>
      <c r="F12" s="50" t="s">
        <v>107</v>
      </c>
    </row>
    <row r="13" customFormat="false" ht="15" hidden="false" customHeight="false" outlineLevel="0" collapsed="false">
      <c r="A13" s="49" t="n">
        <v>46351</v>
      </c>
      <c r="B13" s="50" t="str">
        <f aca="false">TEXT(A13,"dddd")</f>
        <v>Wednesday</v>
      </c>
      <c r="C13" s="51" t="s">
        <v>111</v>
      </c>
      <c r="D13" s="51" t="s">
        <v>106</v>
      </c>
      <c r="E13" s="52" t="s">
        <v>112</v>
      </c>
      <c r="F13" s="50" t="s">
        <v>107</v>
      </c>
    </row>
    <row r="14" customFormat="false" ht="15" hidden="false" customHeight="false" outlineLevel="0" collapsed="false">
      <c r="A14" s="45" t="n">
        <v>46352</v>
      </c>
      <c r="B14" s="26" t="str">
        <f aca="false">TEXT(A14,"dddd")</f>
        <v>Thursday</v>
      </c>
      <c r="C14" s="34" t="s">
        <v>99</v>
      </c>
      <c r="D14" s="34" t="s">
        <v>100</v>
      </c>
      <c r="E14" s="46" t="s">
        <v>113</v>
      </c>
      <c r="F14" s="26" t="s">
        <v>101</v>
      </c>
    </row>
    <row r="15" customFormat="false" ht="15" hidden="false" customHeight="false" outlineLevel="0" collapsed="false">
      <c r="A15" s="45" t="n">
        <v>46353</v>
      </c>
      <c r="B15" s="26" t="str">
        <f aca="false">TEXT(A15,"dddd")</f>
        <v>Friday</v>
      </c>
      <c r="C15" s="34" t="s">
        <v>99</v>
      </c>
      <c r="D15" s="34" t="s">
        <v>100</v>
      </c>
      <c r="E15" s="46" t="s">
        <v>114</v>
      </c>
      <c r="F15" s="26" t="s">
        <v>101</v>
      </c>
    </row>
    <row r="16" customFormat="false" ht="15" hidden="false" customHeight="false" outlineLevel="0" collapsed="false">
      <c r="A16" s="49" t="n">
        <v>46365</v>
      </c>
      <c r="B16" s="50" t="str">
        <f aca="false">TEXT(A16,"dddd")</f>
        <v>Wednesday</v>
      </c>
      <c r="C16" s="51" t="s">
        <v>105</v>
      </c>
      <c r="D16" s="51" t="s">
        <v>106</v>
      </c>
      <c r="E16" s="52"/>
      <c r="F16" s="50" t="s">
        <v>107</v>
      </c>
    </row>
    <row r="17" customFormat="false" ht="15" hidden="false" customHeight="false" outlineLevel="0" collapsed="false">
      <c r="A17" s="49" t="n">
        <v>46379</v>
      </c>
      <c r="B17" s="50" t="str">
        <f aca="false">TEXT(A17,"dddd")</f>
        <v>Wednesday</v>
      </c>
      <c r="C17" s="51" t="s">
        <v>111</v>
      </c>
      <c r="D17" s="51" t="s">
        <v>106</v>
      </c>
      <c r="E17" s="52" t="s">
        <v>115</v>
      </c>
      <c r="F17" s="50" t="s">
        <v>107</v>
      </c>
    </row>
    <row r="18" customFormat="false" ht="15" hidden="false" customHeight="false" outlineLevel="0" collapsed="false">
      <c r="A18" s="45" t="n">
        <v>46380</v>
      </c>
      <c r="B18" s="26" t="str">
        <f aca="false">TEXT(A18,"dddd")</f>
        <v>Thursday</v>
      </c>
      <c r="C18" s="34" t="s">
        <v>99</v>
      </c>
      <c r="D18" s="34" t="s">
        <v>100</v>
      </c>
      <c r="E18" s="46" t="s">
        <v>116</v>
      </c>
      <c r="F18" s="26" t="s">
        <v>101</v>
      </c>
    </row>
    <row r="19" customFormat="false" ht="15" hidden="false" customHeight="false" outlineLevel="0" collapsed="false">
      <c r="A19" s="45" t="n">
        <v>46381</v>
      </c>
      <c r="B19" s="26" t="str">
        <f aca="false">TEXT(A19,"dddd")</f>
        <v>Friday</v>
      </c>
      <c r="C19" s="34" t="s">
        <v>99</v>
      </c>
      <c r="D19" s="34" t="s">
        <v>100</v>
      </c>
      <c r="E19" s="46" t="s">
        <v>117</v>
      </c>
      <c r="F19" s="26" t="s">
        <v>101</v>
      </c>
    </row>
    <row r="20" customFormat="false" ht="15" hidden="false" customHeight="false" outlineLevel="0" collapsed="false">
      <c r="A20" s="45" t="n">
        <v>46384</v>
      </c>
      <c r="B20" s="26" t="str">
        <f aca="false">TEXT(A20,"dddd")</f>
        <v>Monday</v>
      </c>
      <c r="C20" s="34" t="s">
        <v>99</v>
      </c>
      <c r="D20" s="34" t="s">
        <v>100</v>
      </c>
      <c r="E20" s="46" t="s">
        <v>118</v>
      </c>
      <c r="F20" s="26" t="s">
        <v>101</v>
      </c>
    </row>
    <row r="21" customFormat="false" ht="15" hidden="false" customHeight="false" outlineLevel="0" collapsed="false">
      <c r="A21" s="45" t="n">
        <v>46385</v>
      </c>
      <c r="B21" s="26" t="str">
        <f aca="false">TEXT(A21,"dddd")</f>
        <v>Tuesday</v>
      </c>
      <c r="C21" s="34" t="s">
        <v>99</v>
      </c>
      <c r="D21" s="34" t="s">
        <v>100</v>
      </c>
      <c r="E21" s="46" t="s">
        <v>118</v>
      </c>
      <c r="F21" s="26" t="s">
        <v>101</v>
      </c>
    </row>
    <row r="22" customFormat="false" ht="15" hidden="false" customHeight="false" outlineLevel="0" collapsed="false">
      <c r="A22" s="45" t="n">
        <v>46386</v>
      </c>
      <c r="B22" s="26" t="str">
        <f aca="false">TEXT(A22,"dddd")</f>
        <v>Wednesday</v>
      </c>
      <c r="C22" s="34" t="s">
        <v>99</v>
      </c>
      <c r="D22" s="34" t="s">
        <v>100</v>
      </c>
      <c r="E22" s="46" t="s">
        <v>118</v>
      </c>
      <c r="F22" s="26" t="s">
        <v>101</v>
      </c>
    </row>
    <row r="23" customFormat="false" ht="15" hidden="false" customHeight="false" outlineLevel="0" collapsed="false">
      <c r="A23" s="45" t="n">
        <v>46387</v>
      </c>
      <c r="B23" s="26" t="str">
        <f aca="false">TEXT(A23,"dddd")</f>
        <v>Thursday</v>
      </c>
      <c r="C23" s="34" t="s">
        <v>99</v>
      </c>
      <c r="D23" s="34" t="s">
        <v>100</v>
      </c>
      <c r="E23" s="46" t="s">
        <v>118</v>
      </c>
      <c r="F23" s="26" t="s">
        <v>101</v>
      </c>
    </row>
    <row r="24" customFormat="false" ht="15" hidden="false" customHeight="false" outlineLevel="0" collapsed="false">
      <c r="A24" s="45" t="n">
        <v>46388</v>
      </c>
      <c r="B24" s="26" t="str">
        <f aca="false">TEXT(A24,"dddd")</f>
        <v>Friday</v>
      </c>
      <c r="C24" s="34" t="s">
        <v>99</v>
      </c>
      <c r="D24" s="34" t="s">
        <v>100</v>
      </c>
      <c r="E24" s="46" t="s">
        <v>119</v>
      </c>
      <c r="F24" s="26" t="s">
        <v>101</v>
      </c>
    </row>
    <row r="25" customFormat="false" ht="15" hidden="false" customHeight="false" outlineLevel="0" collapsed="false">
      <c r="A25" s="49" t="n">
        <v>46400</v>
      </c>
      <c r="B25" s="50" t="str">
        <f aca="false">TEXT(A25,"dddd")</f>
        <v>Wednesday</v>
      </c>
      <c r="C25" s="51" t="s">
        <v>105</v>
      </c>
      <c r="D25" s="51" t="s">
        <v>106</v>
      </c>
      <c r="E25" s="52"/>
      <c r="F25" s="50" t="s">
        <v>107</v>
      </c>
    </row>
    <row r="26" customFormat="false" ht="15" hidden="false" customHeight="false" outlineLevel="0" collapsed="false">
      <c r="A26" s="45" t="n">
        <v>46405</v>
      </c>
      <c r="B26" s="26" t="str">
        <f aca="false">TEXT(A26,"dddd")</f>
        <v>Monday</v>
      </c>
      <c r="C26" s="34" t="s">
        <v>99</v>
      </c>
      <c r="D26" s="34" t="s">
        <v>100</v>
      </c>
      <c r="E26" s="46" t="s">
        <v>120</v>
      </c>
      <c r="F26" s="26" t="s">
        <v>101</v>
      </c>
    </row>
    <row r="27" customFormat="false" ht="15" hidden="false" customHeight="false" outlineLevel="0" collapsed="false">
      <c r="A27" s="49" t="n">
        <v>46428</v>
      </c>
      <c r="B27" s="50" t="str">
        <f aca="false">TEXT(A27,"dddd")</f>
        <v>Wednesday</v>
      </c>
      <c r="C27" s="51" t="s">
        <v>105</v>
      </c>
      <c r="D27" s="51" t="s">
        <v>106</v>
      </c>
      <c r="E27" s="52"/>
      <c r="F27" s="50" t="s">
        <v>107</v>
      </c>
    </row>
    <row r="28" customFormat="false" ht="15" hidden="false" customHeight="false" outlineLevel="0" collapsed="false">
      <c r="A28" s="45" t="n">
        <v>46433</v>
      </c>
      <c r="B28" s="26" t="str">
        <f aca="false">TEXT(A28,"dddd")</f>
        <v>Monday</v>
      </c>
      <c r="C28" s="34" t="s">
        <v>99</v>
      </c>
      <c r="D28" s="34" t="s">
        <v>100</v>
      </c>
      <c r="E28" s="46" t="s">
        <v>121</v>
      </c>
      <c r="F28" s="26" t="s">
        <v>101</v>
      </c>
    </row>
    <row r="29" customFormat="false" ht="15" hidden="false" customHeight="false" outlineLevel="0" collapsed="false">
      <c r="A29" s="45" t="n">
        <v>46434</v>
      </c>
      <c r="B29" s="26" t="str">
        <f aca="false">TEXT(A29,"dddd")</f>
        <v>Tuesday</v>
      </c>
      <c r="C29" s="34" t="s">
        <v>99</v>
      </c>
      <c r="D29" s="34" t="s">
        <v>100</v>
      </c>
      <c r="E29" s="46" t="s">
        <v>122</v>
      </c>
      <c r="F29" s="26" t="s">
        <v>101</v>
      </c>
    </row>
    <row r="30" customFormat="false" ht="15" hidden="false" customHeight="false" outlineLevel="0" collapsed="false">
      <c r="A30" s="45" t="n">
        <v>46435</v>
      </c>
      <c r="B30" s="26" t="str">
        <f aca="false">TEXT(A30,"dddd")</f>
        <v>Wednesday</v>
      </c>
      <c r="C30" s="34" t="s">
        <v>99</v>
      </c>
      <c r="D30" s="34" t="s">
        <v>100</v>
      </c>
      <c r="E30" s="46" t="s">
        <v>122</v>
      </c>
      <c r="F30" s="26" t="s">
        <v>101</v>
      </c>
    </row>
    <row r="31" customFormat="false" ht="15" hidden="false" customHeight="false" outlineLevel="0" collapsed="false">
      <c r="A31" s="45" t="n">
        <v>46436</v>
      </c>
      <c r="B31" s="26" t="str">
        <f aca="false">TEXT(A31,"dddd")</f>
        <v>Thursday</v>
      </c>
      <c r="C31" s="34" t="s">
        <v>99</v>
      </c>
      <c r="D31" s="34" t="s">
        <v>100</v>
      </c>
      <c r="E31" s="46" t="s">
        <v>122</v>
      </c>
      <c r="F31" s="26" t="s">
        <v>101</v>
      </c>
    </row>
    <row r="32" customFormat="false" ht="15" hidden="false" customHeight="false" outlineLevel="0" collapsed="false">
      <c r="A32" s="45" t="n">
        <v>46437</v>
      </c>
      <c r="B32" s="26" t="str">
        <f aca="false">TEXT(A32,"dddd")</f>
        <v>Friday</v>
      </c>
      <c r="C32" s="34" t="s">
        <v>99</v>
      </c>
      <c r="D32" s="34" t="s">
        <v>100</v>
      </c>
      <c r="E32" s="46" t="s">
        <v>122</v>
      </c>
      <c r="F32" s="26" t="s">
        <v>101</v>
      </c>
    </row>
    <row r="33" customFormat="false" ht="15" hidden="false" customHeight="false" outlineLevel="0" collapsed="false">
      <c r="A33" s="49" t="n">
        <v>46449</v>
      </c>
      <c r="B33" s="50" t="str">
        <f aca="false">TEXT(A33,"dddd")</f>
        <v>Wednesday</v>
      </c>
      <c r="C33" s="51" t="s">
        <v>105</v>
      </c>
      <c r="D33" s="51" t="s">
        <v>106</v>
      </c>
      <c r="E33" s="52"/>
      <c r="F33" s="50" t="s">
        <v>107</v>
      </c>
    </row>
    <row r="34" customFormat="false" ht="15" hidden="false" customHeight="false" outlineLevel="0" collapsed="false">
      <c r="A34" s="49" t="n">
        <v>46463</v>
      </c>
      <c r="B34" s="50" t="str">
        <f aca="false">TEXT(A34,"dddd")</f>
        <v>Wednesday</v>
      </c>
      <c r="C34" s="51" t="s">
        <v>105</v>
      </c>
      <c r="D34" s="51" t="s">
        <v>106</v>
      </c>
      <c r="E34" s="52"/>
      <c r="F34" s="50" t="s">
        <v>107</v>
      </c>
    </row>
    <row r="35" customFormat="false" ht="15" hidden="false" customHeight="false" outlineLevel="0" collapsed="false">
      <c r="A35" s="45" t="n">
        <v>46472</v>
      </c>
      <c r="B35" s="26" t="str">
        <f aca="false">TEXT(A35,"dddd")</f>
        <v>Friday</v>
      </c>
      <c r="C35" s="34" t="s">
        <v>99</v>
      </c>
      <c r="D35" s="34" t="s">
        <v>100</v>
      </c>
      <c r="E35" s="46" t="s">
        <v>123</v>
      </c>
      <c r="F35" s="26" t="s">
        <v>101</v>
      </c>
    </row>
    <row r="36" customFormat="false" ht="15" hidden="false" customHeight="false" outlineLevel="0" collapsed="false">
      <c r="A36" s="49" t="n">
        <v>46491</v>
      </c>
      <c r="B36" s="50" t="str">
        <f aca="false">TEXT(A36,"dddd")</f>
        <v>Wednesday</v>
      </c>
      <c r="C36" s="51" t="s">
        <v>105</v>
      </c>
      <c r="D36" s="51" t="s">
        <v>106</v>
      </c>
      <c r="E36" s="52"/>
      <c r="F36" s="50" t="s">
        <v>107</v>
      </c>
    </row>
    <row r="37" customFormat="false" ht="15" hidden="false" customHeight="false" outlineLevel="0" collapsed="false">
      <c r="A37" s="45" t="n">
        <v>46496</v>
      </c>
      <c r="B37" s="26" t="str">
        <f aca="false">TEXT(A37,"dddd")</f>
        <v>Monday</v>
      </c>
      <c r="C37" s="34" t="s">
        <v>99</v>
      </c>
      <c r="D37" s="34" t="s">
        <v>100</v>
      </c>
      <c r="E37" s="46" t="s">
        <v>124</v>
      </c>
      <c r="F37" s="26" t="s">
        <v>101</v>
      </c>
    </row>
    <row r="38" customFormat="false" ht="15" hidden="false" customHeight="false" outlineLevel="0" collapsed="false">
      <c r="A38" s="45" t="n">
        <v>46497</v>
      </c>
      <c r="B38" s="26" t="str">
        <f aca="false">TEXT(A38,"dddd")</f>
        <v>Tuesday</v>
      </c>
      <c r="C38" s="34" t="s">
        <v>99</v>
      </c>
      <c r="D38" s="34" t="s">
        <v>100</v>
      </c>
      <c r="E38" s="46" t="s">
        <v>125</v>
      </c>
      <c r="F38" s="26" t="s">
        <v>101</v>
      </c>
    </row>
    <row r="39" customFormat="false" ht="15" hidden="false" customHeight="false" outlineLevel="0" collapsed="false">
      <c r="A39" s="45" t="n">
        <v>46498</v>
      </c>
      <c r="B39" s="26" t="str">
        <f aca="false">TEXT(A39,"dddd")</f>
        <v>Wednesday</v>
      </c>
      <c r="C39" s="34" t="s">
        <v>99</v>
      </c>
      <c r="D39" s="34" t="s">
        <v>100</v>
      </c>
      <c r="E39" s="46" t="s">
        <v>125</v>
      </c>
      <c r="F39" s="26" t="s">
        <v>101</v>
      </c>
    </row>
    <row r="40" customFormat="false" ht="15" hidden="false" customHeight="false" outlineLevel="0" collapsed="false">
      <c r="A40" s="45" t="n">
        <v>46499</v>
      </c>
      <c r="B40" s="26" t="str">
        <f aca="false">TEXT(A40,"dddd")</f>
        <v>Thursday</v>
      </c>
      <c r="C40" s="34" t="s">
        <v>99</v>
      </c>
      <c r="D40" s="34" t="s">
        <v>100</v>
      </c>
      <c r="E40" s="46" t="s">
        <v>125</v>
      </c>
      <c r="F40" s="26" t="s">
        <v>101</v>
      </c>
    </row>
    <row r="41" customFormat="false" ht="15" hidden="false" customHeight="false" outlineLevel="0" collapsed="false">
      <c r="A41" s="45" t="n">
        <v>46500</v>
      </c>
      <c r="B41" s="26" t="str">
        <f aca="false">TEXT(A41,"dddd")</f>
        <v>Friday</v>
      </c>
      <c r="C41" s="34" t="s">
        <v>99</v>
      </c>
      <c r="D41" s="34" t="s">
        <v>100</v>
      </c>
      <c r="E41" s="46" t="s">
        <v>125</v>
      </c>
      <c r="F41" s="26" t="s">
        <v>101</v>
      </c>
    </row>
    <row r="42" customFormat="false" ht="15" hidden="false" customHeight="false" outlineLevel="0" collapsed="false">
      <c r="A42" s="49" t="n">
        <v>46526</v>
      </c>
      <c r="B42" s="50" t="str">
        <f aca="false">TEXT(A42,"dddd")</f>
        <v>Wednesday</v>
      </c>
      <c r="C42" s="51" t="s">
        <v>105</v>
      </c>
      <c r="D42" s="51" t="s">
        <v>106</v>
      </c>
      <c r="E42" s="52"/>
      <c r="F42" s="50" t="s">
        <v>107</v>
      </c>
    </row>
    <row r="43" customFormat="false" ht="15" hidden="false" customHeight="false" outlineLevel="0" collapsed="false">
      <c r="A43" s="45" t="n">
        <v>46538</v>
      </c>
      <c r="B43" s="26" t="str">
        <f aca="false">TEXT(A43,"dddd")</f>
        <v>Monday</v>
      </c>
      <c r="C43" s="34" t="s">
        <v>99</v>
      </c>
      <c r="D43" s="34" t="s">
        <v>100</v>
      </c>
      <c r="E43" s="46" t="s">
        <v>126</v>
      </c>
      <c r="F43" s="26" t="s">
        <v>101</v>
      </c>
    </row>
    <row r="44" customFormat="false" ht="15" hidden="false" customHeight="false" outlineLevel="0" collapsed="false">
      <c r="A44" s="43" t="n">
        <v>46541</v>
      </c>
      <c r="B44" s="14" t="str">
        <f aca="false">TEXT(A44,"dddd")</f>
        <v>Thursday</v>
      </c>
      <c r="C44" s="31" t="s">
        <v>127</v>
      </c>
      <c r="D44" s="31" t="s">
        <v>128</v>
      </c>
      <c r="E44" s="44"/>
      <c r="F44" s="14" t="s">
        <v>98</v>
      </c>
    </row>
    <row r="45" customFormat="false" ht="15" hidden="false" customHeight="false" outlineLevel="0" collapsed="false">
      <c r="A45" s="43" t="n">
        <v>46542</v>
      </c>
      <c r="B45" s="14" t="str">
        <f aca="false">TEXT(A45,"dddd")</f>
        <v>Friday</v>
      </c>
      <c r="C45" s="31" t="s">
        <v>127</v>
      </c>
      <c r="D45" s="31" t="s">
        <v>128</v>
      </c>
      <c r="E45" s="44"/>
      <c r="F45" s="14" t="s">
        <v>98</v>
      </c>
    </row>
    <row r="46" customFormat="false" ht="15" hidden="false" customHeight="false" outlineLevel="0" collapsed="false">
      <c r="A46" s="43" t="n">
        <v>46555</v>
      </c>
      <c r="B46" s="14" t="str">
        <f aca="false">TEXT(A46,"dddd")</f>
        <v>Thursday</v>
      </c>
      <c r="C46" s="31" t="s">
        <v>129</v>
      </c>
      <c r="D46" s="31" t="s">
        <v>130</v>
      </c>
      <c r="E46" s="44"/>
      <c r="F46" s="14" t="s">
        <v>131</v>
      </c>
    </row>
    <row r="47" customFormat="false" ht="15" hidden="false" customHeight="false" outlineLevel="0" collapsed="false">
      <c r="A47" s="45" t="n">
        <v>46556</v>
      </c>
      <c r="B47" s="26" t="str">
        <f aca="false">TEXT(A47,"dddd")</f>
        <v>Friday</v>
      </c>
      <c r="C47" s="34" t="s">
        <v>99</v>
      </c>
      <c r="D47" s="34" t="s">
        <v>100</v>
      </c>
      <c r="E47" s="46" t="s">
        <v>132</v>
      </c>
      <c r="F47" s="26" t="s">
        <v>101</v>
      </c>
    </row>
    <row r="48" customFormat="false" ht="15" hidden="false" customHeight="false" outlineLevel="0" collapsed="false">
      <c r="A48" s="53" t="n">
        <v>46563</v>
      </c>
      <c r="B48" s="22" t="str">
        <f aca="false">TEXT(A48,"dddd")</f>
        <v>Friday</v>
      </c>
      <c r="C48" s="33" t="s">
        <v>133</v>
      </c>
      <c r="D48" s="33" t="s">
        <v>134</v>
      </c>
      <c r="E48" s="54"/>
      <c r="F48" s="22" t="s">
        <v>135</v>
      </c>
    </row>
    <row r="50" customFormat="false" ht="15" hidden="false" customHeight="false" outlineLevel="0" collapsed="false">
      <c r="A50" s="2" t="s">
        <v>136</v>
      </c>
    </row>
  </sheetData>
  <autoFilter ref="A1:F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8"/>
    <col collapsed="false" customWidth="true" hidden="false" outlineLevel="0" max="5" min="5" style="0" width="60"/>
  </cols>
  <sheetData>
    <row r="1" customFormat="false" ht="33.75" hidden="false" customHeight="true" outlineLevel="0" collapsed="false">
      <c r="A1" s="9" t="s">
        <v>137</v>
      </c>
      <c r="B1" s="9" t="s">
        <v>138</v>
      </c>
      <c r="C1" s="9" t="s">
        <v>139</v>
      </c>
      <c r="D1" s="9" t="s">
        <v>140</v>
      </c>
      <c r="E1" s="9" t="s">
        <v>141</v>
      </c>
    </row>
    <row r="2" customFormat="false" ht="15" hidden="false" customHeight="false" outlineLevel="0" collapsed="false">
      <c r="A2" s="55" t="n">
        <v>46266</v>
      </c>
      <c r="B2" s="36" t="n">
        <v>19</v>
      </c>
      <c r="C2" s="36"/>
      <c r="D2" s="36" t="n">
        <f aca="false">SUM($B$2:B2)</f>
        <v>19</v>
      </c>
      <c r="E2" s="6" t="s">
        <v>142</v>
      </c>
    </row>
    <row r="3" customFormat="false" ht="15" hidden="false" customHeight="false" outlineLevel="0" collapsed="false">
      <c r="A3" s="55" t="n">
        <v>46296</v>
      </c>
      <c r="B3" s="36" t="n">
        <v>21</v>
      </c>
      <c r="C3" s="36"/>
      <c r="D3" s="36" t="n">
        <f aca="false">SUM($B$2:B3)</f>
        <v>40</v>
      </c>
      <c r="E3" s="6" t="s">
        <v>143</v>
      </c>
    </row>
    <row r="4" customFormat="false" ht="15" hidden="false" customHeight="false" outlineLevel="0" collapsed="false">
      <c r="A4" s="55" t="n">
        <v>46327</v>
      </c>
      <c r="B4" s="36" t="n">
        <v>17</v>
      </c>
      <c r="C4" s="36"/>
      <c r="D4" s="36" t="n">
        <f aca="false">SUM($B$2:B4)</f>
        <v>57</v>
      </c>
      <c r="E4" s="6" t="s">
        <v>144</v>
      </c>
    </row>
    <row r="5" customFormat="false" ht="15" hidden="false" customHeight="false" outlineLevel="0" collapsed="false">
      <c r="A5" s="55" t="n">
        <v>46357</v>
      </c>
      <c r="B5" s="36" t="n">
        <v>17</v>
      </c>
      <c r="C5" s="36"/>
      <c r="D5" s="36" t="n">
        <f aca="false">SUM($B$2:B5)</f>
        <v>74</v>
      </c>
      <c r="E5" s="6" t="s">
        <v>145</v>
      </c>
    </row>
    <row r="6" customFormat="false" ht="15" hidden="false" customHeight="false" outlineLevel="0" collapsed="false">
      <c r="A6" s="55" t="n">
        <v>46388</v>
      </c>
      <c r="B6" s="36" t="n">
        <v>19</v>
      </c>
      <c r="C6" s="36"/>
      <c r="D6" s="36" t="n">
        <f aca="false">SUM($B$2:B6)</f>
        <v>93</v>
      </c>
      <c r="E6" s="6" t="s">
        <v>146</v>
      </c>
    </row>
    <row r="7" customFormat="false" ht="15" hidden="false" customHeight="false" outlineLevel="0" collapsed="false">
      <c r="A7" s="55" t="n">
        <v>46419</v>
      </c>
      <c r="B7" s="36" t="n">
        <v>15</v>
      </c>
      <c r="C7" s="36"/>
      <c r="D7" s="36" t="n">
        <f aca="false">SUM($B$2:B7)</f>
        <v>108</v>
      </c>
      <c r="E7" s="6" t="s">
        <v>147</v>
      </c>
    </row>
    <row r="8" customFormat="false" ht="15" hidden="false" customHeight="false" outlineLevel="0" collapsed="false">
      <c r="A8" s="55" t="n">
        <v>46447</v>
      </c>
      <c r="B8" s="36" t="n">
        <v>22</v>
      </c>
      <c r="C8" s="36"/>
      <c r="D8" s="36" t="n">
        <f aca="false">SUM($B$2:B8)</f>
        <v>130</v>
      </c>
      <c r="E8" s="6" t="s">
        <v>148</v>
      </c>
    </row>
    <row r="9" customFormat="false" ht="15" hidden="false" customHeight="false" outlineLevel="0" collapsed="false">
      <c r="A9" s="55" t="n">
        <v>46478</v>
      </c>
      <c r="B9" s="36" t="n">
        <v>17</v>
      </c>
      <c r="C9" s="36"/>
      <c r="D9" s="36" t="n">
        <f aca="false">SUM($B$2:B9)</f>
        <v>147</v>
      </c>
      <c r="E9" s="6" t="s">
        <v>149</v>
      </c>
    </row>
    <row r="10" customFormat="false" ht="15" hidden="false" customHeight="false" outlineLevel="0" collapsed="false">
      <c r="A10" s="55" t="n">
        <v>46508</v>
      </c>
      <c r="B10" s="36" t="n">
        <v>20</v>
      </c>
      <c r="C10" s="36"/>
      <c r="D10" s="36" t="n">
        <f aca="false">SUM($B$2:B10)</f>
        <v>167</v>
      </c>
      <c r="E10" s="6" t="s">
        <v>150</v>
      </c>
    </row>
    <row r="11" customFormat="false" ht="15" hidden="false" customHeight="false" outlineLevel="0" collapsed="false">
      <c r="A11" s="55" t="n">
        <v>46539</v>
      </c>
      <c r="B11" s="36" t="n">
        <v>13</v>
      </c>
      <c r="C11" s="36" t="n">
        <v>18</v>
      </c>
      <c r="D11" s="36" t="n">
        <f aca="false">SUM($B$2:B11)</f>
        <v>180</v>
      </c>
      <c r="E11" s="6" t="s">
        <v>151</v>
      </c>
    </row>
    <row r="12" customFormat="false" ht="15" hidden="false" customHeight="false" outlineLevel="0" collapsed="false">
      <c r="A12" s="38" t="s">
        <v>84</v>
      </c>
      <c r="B12" s="38" t="n">
        <f aca="false">SUM(B2:B11)</f>
        <v>180</v>
      </c>
      <c r="C12" s="38"/>
      <c r="D12" s="38" t="n">
        <f aca="false">SUM($B$2:$B$10)+C11</f>
        <v>185</v>
      </c>
      <c r="E12" s="56" t="s">
        <v>152</v>
      </c>
    </row>
    <row r="14" customFormat="false" ht="15" hidden="false" customHeight="false" outlineLevel="0" collapsed="false">
      <c r="A14" s="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1"/>
    <col collapsed="false" customWidth="true" hidden="false" outlineLevel="0" max="4" min="4" style="0" width="40"/>
    <col collapsed="false" customWidth="true" hidden="false" outlineLevel="0" max="5" min="5" style="0" width="20"/>
    <col collapsed="false" customWidth="true" hidden="false" outlineLevel="0" max="6" min="6" style="0" width="12"/>
    <col collapsed="false" customWidth="true" hidden="false" outlineLevel="0" max="7" min="7" style="0" width="13"/>
  </cols>
  <sheetData>
    <row r="1" customFormat="false" ht="33.75" hidden="false" customHeight="true" outlineLevel="0" collapsed="false">
      <c r="A1" s="9" t="s">
        <v>154</v>
      </c>
      <c r="B1" s="9" t="s">
        <v>155</v>
      </c>
      <c r="C1" s="9" t="s">
        <v>156</v>
      </c>
      <c r="D1" s="9" t="s">
        <v>157</v>
      </c>
      <c r="E1" s="9" t="s">
        <v>87</v>
      </c>
      <c r="F1" s="9" t="s">
        <v>88</v>
      </c>
      <c r="G1" s="9" t="s">
        <v>158</v>
      </c>
    </row>
    <row r="2" customFormat="false" ht="15" hidden="false" customHeight="false" outlineLevel="0" collapsed="false">
      <c r="A2" s="31" t="s">
        <v>159</v>
      </c>
      <c r="B2" s="14" t="s">
        <v>160</v>
      </c>
      <c r="C2" s="14" t="n">
        <v>60</v>
      </c>
      <c r="D2" s="31" t="s">
        <v>161</v>
      </c>
      <c r="E2" s="43" t="n">
        <v>46311</v>
      </c>
      <c r="F2" s="14" t="str">
        <f aca="false">TEXT(E2,"dddd")</f>
        <v>Friday</v>
      </c>
      <c r="G2" s="14" t="n">
        <v>30</v>
      </c>
    </row>
    <row r="3" customFormat="false" ht="15" hidden="false" customHeight="false" outlineLevel="0" collapsed="false">
      <c r="A3" s="31" t="s">
        <v>159</v>
      </c>
      <c r="B3" s="14" t="s">
        <v>160</v>
      </c>
      <c r="C3" s="14" t="n">
        <v>60</v>
      </c>
      <c r="D3" s="31" t="s">
        <v>162</v>
      </c>
      <c r="E3" s="43" t="n">
        <v>46359</v>
      </c>
      <c r="F3" s="14" t="str">
        <f aca="false">TEXT(E3,"dddd")</f>
        <v>Thursday</v>
      </c>
      <c r="G3" s="14"/>
    </row>
    <row r="4" customFormat="false" ht="15" hidden="false" customHeight="false" outlineLevel="0" collapsed="false">
      <c r="A4" s="31" t="s">
        <v>159</v>
      </c>
      <c r="B4" s="14" t="s">
        <v>160</v>
      </c>
      <c r="C4" s="14" t="n">
        <v>60</v>
      </c>
      <c r="D4" s="31" t="s">
        <v>163</v>
      </c>
      <c r="E4" s="43" t="n">
        <v>46373</v>
      </c>
      <c r="F4" s="14" t="str">
        <f aca="false">TEXT(E4,"dddd")</f>
        <v>Thursday</v>
      </c>
      <c r="G4" s="14"/>
    </row>
    <row r="5" customFormat="false" ht="15" hidden="false" customHeight="false" outlineLevel="0" collapsed="false">
      <c r="A5" s="31" t="s">
        <v>159</v>
      </c>
      <c r="B5" s="14" t="s">
        <v>164</v>
      </c>
      <c r="C5" s="14" t="n">
        <v>59</v>
      </c>
      <c r="D5" s="31" t="s">
        <v>161</v>
      </c>
      <c r="E5" s="43" t="n">
        <v>46414</v>
      </c>
      <c r="F5" s="14" t="str">
        <f aca="false">TEXT(E5,"dddd")</f>
        <v>Wednesday</v>
      </c>
      <c r="G5" s="14" t="n">
        <v>31</v>
      </c>
    </row>
    <row r="6" customFormat="false" ht="15" hidden="false" customHeight="false" outlineLevel="0" collapsed="false">
      <c r="A6" s="31" t="s">
        <v>159</v>
      </c>
      <c r="B6" s="14" t="s">
        <v>164</v>
      </c>
      <c r="C6" s="14" t="n">
        <v>59</v>
      </c>
      <c r="D6" s="31" t="s">
        <v>162</v>
      </c>
      <c r="E6" s="43" t="n">
        <v>46458</v>
      </c>
      <c r="F6" s="14" t="str">
        <f aca="false">TEXT(E6,"dddd")</f>
        <v>Friday</v>
      </c>
      <c r="G6" s="14"/>
    </row>
    <row r="7" customFormat="false" ht="15" hidden="false" customHeight="false" outlineLevel="0" collapsed="false">
      <c r="A7" s="31" t="s">
        <v>159</v>
      </c>
      <c r="B7" s="14" t="s">
        <v>164</v>
      </c>
      <c r="C7" s="14" t="n">
        <v>59</v>
      </c>
      <c r="D7" s="31" t="s">
        <v>163</v>
      </c>
      <c r="E7" s="43" t="n">
        <v>46475</v>
      </c>
      <c r="F7" s="14" t="str">
        <f aca="false">TEXT(E7,"dddd")</f>
        <v>Monday</v>
      </c>
      <c r="G7" s="14"/>
    </row>
    <row r="8" customFormat="false" ht="15" hidden="false" customHeight="false" outlineLevel="0" collapsed="false">
      <c r="A8" s="31" t="s">
        <v>159</v>
      </c>
      <c r="B8" s="14" t="s">
        <v>165</v>
      </c>
      <c r="C8" s="14" t="n">
        <v>61</v>
      </c>
      <c r="D8" s="31" t="s">
        <v>161</v>
      </c>
      <c r="E8" s="43" t="n">
        <v>46510</v>
      </c>
      <c r="F8" s="14" t="str">
        <f aca="false">TEXT(E8,"dddd")</f>
        <v>Monday</v>
      </c>
      <c r="G8" s="14" t="n">
        <v>30</v>
      </c>
    </row>
    <row r="9" customFormat="false" ht="15" hidden="false" customHeight="false" outlineLevel="0" collapsed="false">
      <c r="A9" s="31" t="s">
        <v>159</v>
      </c>
      <c r="B9" s="14" t="s">
        <v>165</v>
      </c>
      <c r="C9" s="14" t="n">
        <v>61</v>
      </c>
      <c r="D9" s="31" t="s">
        <v>162</v>
      </c>
      <c r="E9" s="43" t="n">
        <v>46555</v>
      </c>
      <c r="F9" s="14" t="str">
        <f aca="false">TEXT(E9,"dddd")</f>
        <v>Thursday</v>
      </c>
      <c r="G9" s="14"/>
    </row>
    <row r="10" customFormat="false" ht="15" hidden="false" customHeight="false" outlineLevel="0" collapsed="false">
      <c r="A10" s="31" t="s">
        <v>159</v>
      </c>
      <c r="B10" s="14" t="s">
        <v>165</v>
      </c>
      <c r="C10" s="14" t="n">
        <v>61</v>
      </c>
      <c r="D10" s="31" t="s">
        <v>163</v>
      </c>
      <c r="E10" s="43" t="n">
        <v>46555</v>
      </c>
      <c r="F10" s="14" t="str">
        <f aca="false">TEXT(E10,"dddd")</f>
        <v>Thursday</v>
      </c>
      <c r="G10" s="14"/>
    </row>
    <row r="11" customFormat="false" ht="15" hidden="false" customHeight="false" outlineLevel="0" collapsed="false">
      <c r="A11" s="33" t="s">
        <v>166</v>
      </c>
      <c r="B11" s="22" t="s">
        <v>167</v>
      </c>
      <c r="C11" s="22" t="n">
        <v>44</v>
      </c>
      <c r="D11" s="33" t="s">
        <v>168</v>
      </c>
      <c r="E11" s="53" t="n">
        <v>46297</v>
      </c>
      <c r="F11" s="22" t="str">
        <f aca="false">TEXT(E11,"dddd")</f>
        <v>Friday</v>
      </c>
      <c r="G11" s="22"/>
    </row>
    <row r="12" customFormat="false" ht="15" hidden="false" customHeight="false" outlineLevel="0" collapsed="false">
      <c r="A12" s="33" t="s">
        <v>166</v>
      </c>
      <c r="B12" s="22" t="s">
        <v>167</v>
      </c>
      <c r="C12" s="22" t="n">
        <v>44</v>
      </c>
      <c r="D12" s="33" t="s">
        <v>169</v>
      </c>
      <c r="E12" s="53" t="n">
        <v>46304</v>
      </c>
      <c r="F12" s="22" t="str">
        <f aca="false">TEXT(E12,"dddd")</f>
        <v>Friday</v>
      </c>
      <c r="G12" s="22"/>
    </row>
    <row r="13" customFormat="false" ht="15" hidden="false" customHeight="false" outlineLevel="0" collapsed="false">
      <c r="A13" s="33" t="s">
        <v>166</v>
      </c>
      <c r="B13" s="22" t="s">
        <v>167</v>
      </c>
      <c r="C13" s="22" t="n">
        <v>44</v>
      </c>
      <c r="D13" s="33" t="s">
        <v>170</v>
      </c>
      <c r="E13" s="53" t="n">
        <v>46332</v>
      </c>
      <c r="F13" s="22" t="str">
        <f aca="false">TEXT(E13,"dddd")</f>
        <v>Friday</v>
      </c>
      <c r="G13" s="22"/>
    </row>
    <row r="14" customFormat="false" ht="15" hidden="false" customHeight="false" outlineLevel="0" collapsed="false">
      <c r="A14" s="33" t="s">
        <v>166</v>
      </c>
      <c r="B14" s="22" t="s">
        <v>167</v>
      </c>
      <c r="C14" s="22" t="n">
        <v>44</v>
      </c>
      <c r="D14" s="33" t="s">
        <v>171</v>
      </c>
      <c r="E14" s="53" t="n">
        <v>46342</v>
      </c>
      <c r="F14" s="22" t="str">
        <f aca="false">TEXT(E14,"dddd")</f>
        <v>Monday</v>
      </c>
      <c r="G14" s="22"/>
    </row>
    <row r="15" customFormat="false" ht="15" hidden="false" customHeight="false" outlineLevel="0" collapsed="false">
      <c r="A15" s="33" t="s">
        <v>166</v>
      </c>
      <c r="B15" s="22" t="s">
        <v>172</v>
      </c>
      <c r="C15" s="22" t="n">
        <v>44</v>
      </c>
      <c r="D15" s="33" t="s">
        <v>168</v>
      </c>
      <c r="E15" s="53" t="n">
        <v>46367</v>
      </c>
      <c r="F15" s="22" t="str">
        <f aca="false">TEXT(E15,"dddd")</f>
        <v>Friday</v>
      </c>
      <c r="G15" s="22"/>
    </row>
    <row r="16" customFormat="false" ht="15" hidden="false" customHeight="false" outlineLevel="0" collapsed="false">
      <c r="A16" s="33" t="s">
        <v>166</v>
      </c>
      <c r="B16" s="22" t="s">
        <v>172</v>
      </c>
      <c r="C16" s="22" t="n">
        <v>44</v>
      </c>
      <c r="D16" s="33" t="s">
        <v>169</v>
      </c>
      <c r="E16" s="53" t="n">
        <v>46374</v>
      </c>
      <c r="F16" s="22" t="str">
        <f aca="false">TEXT(E16,"dddd")</f>
        <v>Friday</v>
      </c>
      <c r="G16" s="22"/>
    </row>
    <row r="17" customFormat="false" ht="15" hidden="false" customHeight="false" outlineLevel="0" collapsed="false">
      <c r="A17" s="33" t="s">
        <v>166</v>
      </c>
      <c r="B17" s="22" t="s">
        <v>172</v>
      </c>
      <c r="C17" s="22" t="n">
        <v>44</v>
      </c>
      <c r="D17" s="33" t="s">
        <v>170</v>
      </c>
      <c r="E17" s="53" t="n">
        <v>46409</v>
      </c>
      <c r="F17" s="22" t="str">
        <f aca="false">TEXT(E17,"dddd")</f>
        <v>Friday</v>
      </c>
      <c r="G17" s="22"/>
    </row>
    <row r="18" customFormat="false" ht="15" hidden="false" customHeight="false" outlineLevel="0" collapsed="false">
      <c r="A18" s="33" t="s">
        <v>166</v>
      </c>
      <c r="B18" s="22" t="s">
        <v>172</v>
      </c>
      <c r="C18" s="22" t="n">
        <v>44</v>
      </c>
      <c r="D18" s="33" t="s">
        <v>171</v>
      </c>
      <c r="E18" s="53" t="n">
        <v>46416</v>
      </c>
      <c r="F18" s="22" t="str">
        <f aca="false">TEXT(E18,"dddd")</f>
        <v>Friday</v>
      </c>
      <c r="G18" s="22"/>
    </row>
    <row r="19" customFormat="false" ht="15" hidden="false" customHeight="false" outlineLevel="0" collapsed="false">
      <c r="A19" s="33" t="s">
        <v>166</v>
      </c>
      <c r="B19" s="22" t="s">
        <v>173</v>
      </c>
      <c r="C19" s="22" t="n">
        <v>52</v>
      </c>
      <c r="D19" s="33" t="s">
        <v>168</v>
      </c>
      <c r="E19" s="53" t="n">
        <v>46451</v>
      </c>
      <c r="F19" s="22" t="str">
        <f aca="false">TEXT(E19,"dddd")</f>
        <v>Friday</v>
      </c>
      <c r="G19" s="22"/>
    </row>
    <row r="20" customFormat="false" ht="15" hidden="false" customHeight="false" outlineLevel="0" collapsed="false">
      <c r="A20" s="33" t="s">
        <v>166</v>
      </c>
      <c r="B20" s="22" t="s">
        <v>173</v>
      </c>
      <c r="C20" s="22" t="n">
        <v>52</v>
      </c>
      <c r="D20" s="33" t="s">
        <v>169</v>
      </c>
      <c r="E20" s="53" t="n">
        <v>46458</v>
      </c>
      <c r="F20" s="22" t="str">
        <f aca="false">TEXT(E20,"dddd")</f>
        <v>Friday</v>
      </c>
      <c r="G20" s="22"/>
    </row>
    <row r="21" customFormat="false" ht="15" hidden="false" customHeight="false" outlineLevel="0" collapsed="false">
      <c r="A21" s="33" t="s">
        <v>166</v>
      </c>
      <c r="B21" s="22" t="s">
        <v>173</v>
      </c>
      <c r="C21" s="22" t="n">
        <v>52</v>
      </c>
      <c r="D21" s="33" t="s">
        <v>170</v>
      </c>
      <c r="E21" s="53" t="n">
        <v>46491</v>
      </c>
      <c r="F21" s="22" t="str">
        <f aca="false">TEXT(E21,"dddd")</f>
        <v>Wednesday</v>
      </c>
      <c r="G21" s="22"/>
    </row>
    <row r="22" customFormat="false" ht="15" hidden="false" customHeight="false" outlineLevel="0" collapsed="false">
      <c r="A22" s="33" t="s">
        <v>166</v>
      </c>
      <c r="B22" s="22" t="s">
        <v>173</v>
      </c>
      <c r="C22" s="22" t="n">
        <v>52</v>
      </c>
      <c r="D22" s="33" t="s">
        <v>171</v>
      </c>
      <c r="E22" s="53" t="n">
        <v>46505</v>
      </c>
      <c r="F22" s="22" t="str">
        <f aca="false">TEXT(E22,"dddd")</f>
        <v>Wednesday</v>
      </c>
      <c r="G22" s="22"/>
    </row>
    <row r="23" customFormat="false" ht="15" hidden="false" customHeight="false" outlineLevel="0" collapsed="false">
      <c r="A23" s="33" t="s">
        <v>166</v>
      </c>
      <c r="B23" s="22" t="s">
        <v>174</v>
      </c>
      <c r="C23" s="22" t="n">
        <v>40</v>
      </c>
      <c r="D23" s="33" t="s">
        <v>168</v>
      </c>
      <c r="E23" s="53" t="n">
        <v>46521</v>
      </c>
      <c r="F23" s="22" t="str">
        <f aca="false">TEXT(E23,"dddd")</f>
        <v>Friday</v>
      </c>
      <c r="G23" s="22"/>
    </row>
    <row r="24" customFormat="false" ht="15" hidden="false" customHeight="false" outlineLevel="0" collapsed="false">
      <c r="A24" s="33" t="s">
        <v>166</v>
      </c>
      <c r="B24" s="22" t="s">
        <v>174</v>
      </c>
      <c r="C24" s="22" t="n">
        <v>40</v>
      </c>
      <c r="D24" s="33" t="s">
        <v>169</v>
      </c>
      <c r="E24" s="53" t="n">
        <v>46528</v>
      </c>
      <c r="F24" s="22" t="str">
        <f aca="false">TEXT(E24,"dddd")</f>
        <v>Friday</v>
      </c>
      <c r="G24" s="22"/>
    </row>
    <row r="25" customFormat="false" ht="15" hidden="false" customHeight="false" outlineLevel="0" collapsed="false">
      <c r="A25" s="33" t="s">
        <v>166</v>
      </c>
      <c r="B25" s="22" t="s">
        <v>174</v>
      </c>
      <c r="C25" s="22" t="n">
        <v>40</v>
      </c>
      <c r="D25" s="33" t="s">
        <v>170</v>
      </c>
      <c r="E25" s="53" t="n">
        <v>46555</v>
      </c>
      <c r="F25" s="22" t="str">
        <f aca="false">TEXT(E25,"dddd")</f>
        <v>Thursday</v>
      </c>
      <c r="G25" s="22"/>
    </row>
    <row r="26" customFormat="false" ht="15" hidden="false" customHeight="false" outlineLevel="0" collapsed="false">
      <c r="A26" s="33" t="s">
        <v>166</v>
      </c>
      <c r="B26" s="22" t="s">
        <v>174</v>
      </c>
      <c r="C26" s="22" t="n">
        <v>40</v>
      </c>
      <c r="D26" s="33" t="s">
        <v>171</v>
      </c>
      <c r="E26" s="53" t="n">
        <v>46555</v>
      </c>
      <c r="F26" s="22" t="str">
        <f aca="false">TEXT(E26,"dddd")</f>
        <v>Thursday</v>
      </c>
      <c r="G26" s="22"/>
    </row>
    <row r="28" customFormat="false" ht="15" hidden="false" customHeight="false" outlineLevel="0" collapsed="false">
      <c r="A28" s="2" t="s">
        <v>175</v>
      </c>
    </row>
  </sheetData>
  <autoFilter ref="A1:G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2026-09-01T12:08:18Z</dcterms:created>
  <dc:creator>openpyxl</dc:creator>
  <dc:description/>
  <dc:language>en-US</dc:language>
  <cp:lastModifiedBy/>
  <dcterms:modified xsi:type="dcterms:W3CDTF">2026-09-01T12:08:19Z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